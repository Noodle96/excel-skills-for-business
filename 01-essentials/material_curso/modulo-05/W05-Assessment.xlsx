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5\"/>
    </mc:Choice>
  </mc:AlternateContent>
  <xr:revisionPtr revIDLastSave="0" documentId="13_ncr:1_{1E766071-69B2-4655-9893-0BEBAFAAE7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Sheet1!$A$1:$V$34</definedName>
    <definedName name="_xlnm.Print_Titles" localSheetId="0">Sheet1!$1:$4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8" i="1" l="1"/>
  <c r="U29" i="1"/>
  <c r="U30" i="1"/>
  <c r="U15" i="1"/>
  <c r="U5" i="1"/>
  <c r="U16" i="1"/>
  <c r="U17" i="1"/>
  <c r="U7" i="1"/>
  <c r="U19" i="1"/>
  <c r="U6" i="1"/>
  <c r="U22" i="1"/>
  <c r="U20" i="1"/>
  <c r="U8" i="1"/>
  <c r="U9" i="1"/>
  <c r="U21" i="1"/>
  <c r="U31" i="1"/>
  <c r="U10" i="1"/>
  <c r="U18" i="1"/>
  <c r="U11" i="1"/>
  <c r="U23" i="1"/>
  <c r="U12" i="1"/>
  <c r="U32" i="1"/>
  <c r="U33" i="1"/>
  <c r="U34" i="1"/>
  <c r="U13" i="1"/>
  <c r="U24" i="1"/>
  <c r="U14" i="1"/>
  <c r="U25" i="1"/>
  <c r="U26" i="1"/>
  <c r="U27" i="1"/>
  <c r="U3" i="1"/>
  <c r="V13" i="1" l="1"/>
  <c r="V10" i="1"/>
  <c r="V19" i="1"/>
  <c r="V27" i="1"/>
  <c r="V30" i="1"/>
  <c r="V34" i="1"/>
  <c r="V31" i="1"/>
  <c r="V7" i="1"/>
  <c r="V21" i="1"/>
  <c r="V17" i="1"/>
  <c r="V32" i="1"/>
  <c r="V9" i="1"/>
  <c r="V16" i="1"/>
  <c r="V33" i="1"/>
  <c r="V5" i="1"/>
  <c r="V25" i="1"/>
  <c r="V23" i="1"/>
  <c r="V20" i="1"/>
  <c r="V15" i="1"/>
  <c r="V12" i="1"/>
  <c r="V14" i="1"/>
  <c r="V11" i="1"/>
  <c r="V22" i="1"/>
  <c r="V26" i="1"/>
  <c r="V8" i="1"/>
  <c r="V24" i="1"/>
  <c r="V18" i="1"/>
  <c r="V6" i="1"/>
  <c r="V29" i="1"/>
  <c r="V28" i="1"/>
</calcChain>
</file>

<file path=xl/sharedStrings.xml><?xml version="1.0" encoding="utf-8"?>
<sst xmlns="http://schemas.openxmlformats.org/spreadsheetml/2006/main" count="113" uniqueCount="83">
  <si>
    <t>Student No</t>
  </si>
  <si>
    <t>John</t>
  </si>
  <si>
    <t>Peck</t>
  </si>
  <si>
    <t>Katie</t>
  </si>
  <si>
    <t>Baker</t>
  </si>
  <si>
    <t>SungJun</t>
  </si>
  <si>
    <t>Andrew</t>
  </si>
  <si>
    <t>Bayley</t>
  </si>
  <si>
    <t>Brittany</t>
  </si>
  <si>
    <t>Kendall</t>
  </si>
  <si>
    <t>Norris</t>
  </si>
  <si>
    <t>Ke</t>
  </si>
  <si>
    <t>Gupta</t>
  </si>
  <si>
    <t>Julian</t>
  </si>
  <si>
    <t>Yu</t>
  </si>
  <si>
    <t>Liu</t>
  </si>
  <si>
    <t>Minh</t>
  </si>
  <si>
    <t>Nguyen</t>
  </si>
  <si>
    <t>Alyce</t>
  </si>
  <si>
    <t>Baldacchino</t>
  </si>
  <si>
    <t>Bunn</t>
  </si>
  <si>
    <t>Jason</t>
  </si>
  <si>
    <t>Georges</t>
  </si>
  <si>
    <t>Sherline</t>
  </si>
  <si>
    <t>Kevin</t>
  </si>
  <si>
    <t>Adel</t>
  </si>
  <si>
    <t>Almotaery</t>
  </si>
  <si>
    <t>Jonathon</t>
  </si>
  <si>
    <t>Botton</t>
  </si>
  <si>
    <t>Sophia</t>
  </si>
  <si>
    <t>Anastopoulos</t>
  </si>
  <si>
    <t>jackson</t>
  </si>
  <si>
    <t>James</t>
  </si>
  <si>
    <t>Iorfino</t>
  </si>
  <si>
    <t>Melissa</t>
  </si>
  <si>
    <t>Huang</t>
  </si>
  <si>
    <t>Justin</t>
  </si>
  <si>
    <t>Sukendy</t>
  </si>
  <si>
    <t>Daniel</t>
  </si>
  <si>
    <t>Arlien</t>
  </si>
  <si>
    <t>Paige</t>
  </si>
  <si>
    <t>Kelly</t>
  </si>
  <si>
    <t>Thomas</t>
  </si>
  <si>
    <t>Torres</t>
  </si>
  <si>
    <t>Stephanie</t>
  </si>
  <si>
    <t>Liesure</t>
  </si>
  <si>
    <t>Joshua</t>
  </si>
  <si>
    <t>Doyle</t>
  </si>
  <si>
    <t>Alex</t>
  </si>
  <si>
    <t>Mikaelian</t>
  </si>
  <si>
    <t>Hadjisavas</t>
  </si>
  <si>
    <t>Park</t>
  </si>
  <si>
    <t>Khan</t>
  </si>
  <si>
    <t>Matthew</t>
  </si>
  <si>
    <t>Pellegriti</t>
  </si>
  <si>
    <t>Emily</t>
  </si>
  <si>
    <t>Yau</t>
  </si>
  <si>
    <t>Noh</t>
  </si>
  <si>
    <t>First Name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</si>
  <si>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</si>
  <si>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</si>
  <si>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</si>
  <si>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</si>
  <si>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</si>
  <si>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</si>
  <si>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</si>
  <si>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</si>
  <si>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</si>
  <si>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</si>
  <si>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</si>
  <si>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</si>
  <si>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</si>
  <si>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</si>
  <si>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Last Name</t>
  </si>
  <si>
    <t>Total</t>
  </si>
  <si>
    <t>Percent</t>
  </si>
  <si>
    <t>Student Test Results</t>
  </si>
  <si>
    <t>Total Marks</t>
  </si>
  <si>
    <t>Question 15</t>
  </si>
  <si>
    <t>Teacher</t>
  </si>
  <si>
    <t>Mrs Andrews</t>
  </si>
  <si>
    <t>Mr Chang</t>
  </si>
  <si>
    <t>Ms Simpson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</si>
</sst>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1">
    <xf numFmtId="0" fontId="0" fillId="0" borderId="0" xfId="0"/>
    <xf numFmtId="0" fontId="2" fillId="2" borderId="0" xfId="2" applyFont="1" applyAlignment="1"/>
    <xf numFmtId="0" fontId="0" fillId="0" borderId="0" xfId="0" applyAlignment="1">
      <alignment horizontal="left"/>
    </xf>
    <xf numFmtId="0" fontId="2" fillId="2" borderId="0" xfId="2" applyFont="1" applyAlignment="1">
      <alignment horizontal="left"/>
    </xf>
    <xf numFmtId="0" fontId="2" fillId="2" borderId="0" xfId="2" applyFont="1" applyAlignment="1">
      <alignment horizontal="center" textRotation="90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1" fillId="3" borderId="0" xfId="3" applyBorder="1"/>
    <xf numFmtId="0" fontId="0" fillId="4" borderId="0" xfId="0" applyFont="1" applyFill="1" applyBorder="1" applyAlignment="1">
      <alignment horizontal="center"/>
    </xf>
    <xf numFmtId="9" fontId="0" fillId="4" borderId="0" xfId="0" applyNumberFormat="1" applyFont="1" applyFill="1" applyBorder="1" applyAlignment="1">
      <alignment horizontal="center"/>
    </xf>
    <xf numFmtId="0" fontId="4" fillId="2" borderId="0" xfId="2" applyFont="1" applyAlignment="1">
      <alignment horizontal="center"/>
    </xf>
  </cellXfs>
  <cellStyles count="4">
    <cellStyle name="20% - Accent1" xfId="3" builtinId="30"/>
    <cellStyle name="Accent1" xfId="2" builtinId="2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4"/>
  <sheetViews>
    <sheetView tabSelected="1" zoomScaleNormal="100" workbookViewId="0">
      <selection activeCell="D2" sqref="D1:D1048576"/>
    </sheetView>
  </sheetViews>
  <sheetFormatPr defaultRowHeight="15" x14ac:dyDescent="0.25"/>
  <cols>
    <col min="1" max="1" width="13.5703125" style="2" customWidth="1"/>
    <col min="2" max="2" width="19" style="2" customWidth="1"/>
    <col min="3" max="3" width="20.28515625" bestFit="1" customWidth="1"/>
    <col min="4" max="4" width="20.28515625" customWidth="1"/>
    <col min="5" max="5" width="19.42578125" customWidth="1"/>
    <col min="6" max="20" width="5" style="5" customWidth="1"/>
    <col min="21" max="21" width="6.28515625" style="5" customWidth="1"/>
    <col min="22" max="22" width="9.28515625" style="5" customWidth="1"/>
  </cols>
  <sheetData>
    <row r="1" spans="1:22" ht="46.5" x14ac:dyDescent="0.7">
      <c r="A1" s="10" t="s">
        <v>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3" spans="1:22" x14ac:dyDescent="0.25">
      <c r="E3" s="7" t="s">
        <v>77</v>
      </c>
      <c r="F3" s="8">
        <v>2</v>
      </c>
      <c r="G3" s="8">
        <v>2</v>
      </c>
      <c r="H3" s="8">
        <v>2</v>
      </c>
      <c r="I3" s="8">
        <v>2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9</v>
      </c>
      <c r="P3" s="8">
        <v>7</v>
      </c>
      <c r="Q3" s="8">
        <v>3</v>
      </c>
      <c r="R3" s="8">
        <v>3</v>
      </c>
      <c r="S3" s="8">
        <v>3</v>
      </c>
      <c r="T3" s="8">
        <v>2</v>
      </c>
      <c r="U3" s="8">
        <f>SUM(F3:T3)</f>
        <v>40</v>
      </c>
      <c r="V3" s="9">
        <v>1</v>
      </c>
    </row>
    <row r="4" spans="1:22" ht="66" customHeight="1" x14ac:dyDescent="0.25">
      <c r="A4" s="3" t="s">
        <v>0</v>
      </c>
      <c r="B4" s="3" t="s">
        <v>79</v>
      </c>
      <c r="C4" s="1" t="s">
        <v>58</v>
      </c>
      <c r="D4" s="1"/>
      <c r="E4" s="1" t="s">
        <v>73</v>
      </c>
      <c r="F4" s="4" t="s">
        <v>59</v>
      </c>
      <c r="G4" s="4" t="s">
        <v>60</v>
      </c>
      <c r="H4" s="4" t="s">
        <v>61</v>
      </c>
      <c r="I4" s="4" t="s">
        <v>62</v>
      </c>
      <c r="J4" s="4" t="s">
        <v>63</v>
      </c>
      <c r="K4" s="4" t="s">
        <v>64</v>
      </c>
      <c r="L4" s="4" t="s">
        <v>65</v>
      </c>
      <c r="M4" s="4" t="s">
        <v>66</v>
      </c>
      <c r="N4" s="4" t="s">
        <v>67</v>
      </c>
      <c r="O4" s="4" t="s">
        <v>68</v>
      </c>
      <c r="P4" s="4" t="s">
        <v>69</v>
      </c>
      <c r="Q4" s="4" t="s">
        <v>70</v>
      </c>
      <c r="R4" s="4" t="s">
        <v>71</v>
      </c>
      <c r="S4" s="4" t="s">
        <v>72</v>
      </c>
      <c r="T4" s="4" t="s">
        <v>78</v>
      </c>
      <c r="U4" s="4" t="s">
        <v>74</v>
      </c>
      <c r="V4" s="4" t="s">
        <v>75</v>
      </c>
    </row>
    <row r="5" spans="1:22" x14ac:dyDescent="0.25">
      <c r="A5" s="2">
        <v>151096</v>
      </c>
      <c r="B5" s="2" t="s">
        <v>81</v>
      </c>
      <c r="C5" t="s">
        <v>8</v>
      </c>
      <c r="E5" t="s">
        <v>28</v>
      </c>
      <c r="F5" s="5">
        <v>2</v>
      </c>
      <c r="G5" s="5">
        <v>2</v>
      </c>
      <c r="H5" s="5">
        <v>2</v>
      </c>
      <c r="I5" s="5">
        <v>2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9</v>
      </c>
      <c r="P5" s="5">
        <v>7</v>
      </c>
      <c r="Q5" s="5">
        <v>3</v>
      </c>
      <c r="R5" s="5">
        <v>3</v>
      </c>
      <c r="S5" s="5">
        <v>3</v>
      </c>
      <c r="T5" s="5">
        <v>2</v>
      </c>
      <c r="U5" s="5">
        <f t="shared" ref="U5:U34" si="0">SUM(F5:T5)</f>
        <v>40</v>
      </c>
      <c r="V5" s="6">
        <f t="shared" ref="V5:V34" si="1">U5/$U$3</f>
        <v>1</v>
      </c>
    </row>
    <row r="6" spans="1:22" x14ac:dyDescent="0.25">
      <c r="A6" s="2">
        <v>172205</v>
      </c>
      <c r="B6" s="2" t="s">
        <v>81</v>
      </c>
      <c r="C6" t="s">
        <v>18</v>
      </c>
      <c r="E6" t="s">
        <v>50</v>
      </c>
      <c r="F6" s="5">
        <v>2</v>
      </c>
      <c r="G6" s="5">
        <v>0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9</v>
      </c>
      <c r="P6" s="5">
        <v>7</v>
      </c>
      <c r="Q6" s="5">
        <v>3</v>
      </c>
      <c r="R6" s="5">
        <v>3</v>
      </c>
      <c r="S6" s="5">
        <v>3</v>
      </c>
      <c r="T6" s="5">
        <v>2</v>
      </c>
      <c r="U6" s="5">
        <f t="shared" si="0"/>
        <v>36</v>
      </c>
      <c r="V6" s="6">
        <f t="shared" si="1"/>
        <v>0.9</v>
      </c>
    </row>
    <row r="7" spans="1:22" x14ac:dyDescent="0.25">
      <c r="A7" s="2">
        <v>158873</v>
      </c>
      <c r="B7" s="2" t="s">
        <v>81</v>
      </c>
      <c r="C7" t="s">
        <v>14</v>
      </c>
      <c r="E7" t="s">
        <v>35</v>
      </c>
      <c r="F7" s="5">
        <v>2</v>
      </c>
      <c r="G7" s="5">
        <v>0</v>
      </c>
      <c r="H7" s="5">
        <v>1</v>
      </c>
      <c r="I7" s="5">
        <v>0</v>
      </c>
      <c r="J7" s="5">
        <v>0</v>
      </c>
      <c r="K7" s="5">
        <v>1</v>
      </c>
      <c r="L7" s="5">
        <v>1</v>
      </c>
      <c r="M7" s="5">
        <v>1</v>
      </c>
      <c r="N7" s="5">
        <v>1</v>
      </c>
      <c r="O7" s="5">
        <v>4</v>
      </c>
      <c r="P7" s="5">
        <v>7</v>
      </c>
      <c r="Q7" s="5">
        <v>3</v>
      </c>
      <c r="R7" s="5">
        <v>3</v>
      </c>
      <c r="S7" s="5">
        <v>3</v>
      </c>
      <c r="T7" s="5">
        <v>2</v>
      </c>
      <c r="U7" s="5">
        <f t="shared" si="0"/>
        <v>29</v>
      </c>
      <c r="V7" s="6">
        <f t="shared" si="1"/>
        <v>0.72499999999999998</v>
      </c>
    </row>
    <row r="8" spans="1:22" x14ac:dyDescent="0.25">
      <c r="A8" s="2">
        <v>174427</v>
      </c>
      <c r="B8" s="2" t="s">
        <v>81</v>
      </c>
      <c r="C8" t="s">
        <v>23</v>
      </c>
      <c r="E8" t="s">
        <v>31</v>
      </c>
      <c r="F8" s="5">
        <v>2</v>
      </c>
      <c r="G8" s="5">
        <v>2</v>
      </c>
      <c r="H8" s="5">
        <v>2</v>
      </c>
      <c r="I8" s="5">
        <v>0</v>
      </c>
      <c r="J8" s="5">
        <v>0</v>
      </c>
      <c r="K8" s="5">
        <v>1</v>
      </c>
      <c r="L8" s="5">
        <v>1</v>
      </c>
      <c r="M8" s="5">
        <v>1</v>
      </c>
      <c r="N8" s="5">
        <v>1</v>
      </c>
      <c r="O8" s="5">
        <v>7</v>
      </c>
      <c r="P8" s="5">
        <v>7</v>
      </c>
      <c r="Q8" s="5">
        <v>3</v>
      </c>
      <c r="R8" s="5">
        <v>3</v>
      </c>
      <c r="S8" s="5">
        <v>3</v>
      </c>
      <c r="T8" s="5">
        <v>2</v>
      </c>
      <c r="U8" s="5">
        <f t="shared" si="0"/>
        <v>35</v>
      </c>
      <c r="V8" s="6">
        <f t="shared" si="1"/>
        <v>0.875</v>
      </c>
    </row>
    <row r="9" spans="1:22" x14ac:dyDescent="0.25">
      <c r="A9" s="2">
        <v>154429</v>
      </c>
      <c r="B9" s="2" t="s">
        <v>81</v>
      </c>
      <c r="C9" t="s">
        <v>24</v>
      </c>
      <c r="E9" t="s">
        <v>11</v>
      </c>
      <c r="F9" s="5">
        <v>2</v>
      </c>
      <c r="G9" s="5">
        <v>2</v>
      </c>
      <c r="H9" s="5">
        <v>2</v>
      </c>
      <c r="I9" s="5">
        <v>0</v>
      </c>
      <c r="J9" s="5">
        <v>0</v>
      </c>
      <c r="K9" s="5">
        <v>1</v>
      </c>
      <c r="L9" s="5">
        <v>1</v>
      </c>
      <c r="M9" s="5">
        <v>1</v>
      </c>
      <c r="N9" s="5">
        <v>1</v>
      </c>
      <c r="O9" s="5">
        <v>7</v>
      </c>
      <c r="P9" s="5">
        <v>7</v>
      </c>
      <c r="Q9" s="5">
        <v>3</v>
      </c>
      <c r="R9" s="5">
        <v>3</v>
      </c>
      <c r="S9" s="5">
        <v>3</v>
      </c>
      <c r="T9" s="5">
        <v>2</v>
      </c>
      <c r="U9" s="5">
        <f t="shared" si="0"/>
        <v>35</v>
      </c>
      <c r="V9" s="6">
        <f t="shared" si="1"/>
        <v>0.875</v>
      </c>
    </row>
    <row r="10" spans="1:22" x14ac:dyDescent="0.25">
      <c r="A10" s="2">
        <v>163317</v>
      </c>
      <c r="B10" s="2" t="s">
        <v>81</v>
      </c>
      <c r="C10" t="s">
        <v>29</v>
      </c>
      <c r="E10" t="s">
        <v>45</v>
      </c>
      <c r="F10" s="5">
        <v>0</v>
      </c>
      <c r="G10" s="5">
        <v>2</v>
      </c>
      <c r="H10" s="5">
        <v>0</v>
      </c>
      <c r="I10" s="5">
        <v>0</v>
      </c>
      <c r="J10" s="5">
        <v>0</v>
      </c>
      <c r="K10" s="5">
        <v>1</v>
      </c>
      <c r="L10" s="5">
        <v>1</v>
      </c>
      <c r="M10" s="5">
        <v>1</v>
      </c>
      <c r="N10" s="5">
        <v>1</v>
      </c>
      <c r="O10" s="5">
        <v>5</v>
      </c>
      <c r="P10" s="5">
        <v>7</v>
      </c>
      <c r="Q10" s="5">
        <v>0</v>
      </c>
      <c r="R10" s="5">
        <v>0</v>
      </c>
      <c r="S10" s="5">
        <v>0</v>
      </c>
      <c r="T10" s="5">
        <v>1</v>
      </c>
      <c r="U10" s="5">
        <f t="shared" si="0"/>
        <v>19</v>
      </c>
      <c r="V10" s="6">
        <f t="shared" si="1"/>
        <v>0.47499999999999998</v>
      </c>
    </row>
    <row r="11" spans="1:22" x14ac:dyDescent="0.25">
      <c r="A11" s="2">
        <v>138875</v>
      </c>
      <c r="B11" s="2" t="s">
        <v>81</v>
      </c>
      <c r="C11" t="s">
        <v>34</v>
      </c>
      <c r="E11" t="s">
        <v>49</v>
      </c>
      <c r="F11" s="5">
        <v>2</v>
      </c>
      <c r="G11" s="5">
        <v>0</v>
      </c>
      <c r="H11" s="5">
        <v>1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1</v>
      </c>
      <c r="O11" s="5">
        <v>8</v>
      </c>
      <c r="P11" s="5">
        <v>7</v>
      </c>
      <c r="Q11" s="5">
        <v>3</v>
      </c>
      <c r="R11" s="5">
        <v>3</v>
      </c>
      <c r="S11" s="5">
        <v>3</v>
      </c>
      <c r="T11" s="5">
        <v>2</v>
      </c>
      <c r="U11" s="5">
        <f t="shared" si="0"/>
        <v>31</v>
      </c>
      <c r="V11" s="6">
        <f t="shared" si="1"/>
        <v>0.77500000000000002</v>
      </c>
    </row>
    <row r="12" spans="1:22" x14ac:dyDescent="0.25">
      <c r="A12" s="2">
        <v>157762</v>
      </c>
      <c r="B12" s="2" t="s">
        <v>81</v>
      </c>
      <c r="C12" t="s">
        <v>38</v>
      </c>
      <c r="E12" t="s">
        <v>57</v>
      </c>
      <c r="F12" s="5">
        <v>2</v>
      </c>
      <c r="G12" s="5">
        <v>2</v>
      </c>
      <c r="H12" s="5">
        <v>2</v>
      </c>
      <c r="I12" s="5">
        <v>0</v>
      </c>
      <c r="J12" s="5">
        <v>0</v>
      </c>
      <c r="K12" s="5">
        <v>1</v>
      </c>
      <c r="L12" s="5">
        <v>1</v>
      </c>
      <c r="M12" s="5">
        <v>1</v>
      </c>
      <c r="N12" s="5">
        <v>1</v>
      </c>
      <c r="O12" s="5">
        <v>5</v>
      </c>
      <c r="P12" s="5">
        <v>7</v>
      </c>
      <c r="Q12" s="5">
        <v>3</v>
      </c>
      <c r="R12" s="5">
        <v>3</v>
      </c>
      <c r="S12" s="5">
        <v>3</v>
      </c>
      <c r="T12" s="5">
        <v>2</v>
      </c>
      <c r="U12" s="5">
        <f t="shared" si="0"/>
        <v>33</v>
      </c>
      <c r="V12" s="6">
        <f t="shared" si="1"/>
        <v>0.82499999999999996</v>
      </c>
    </row>
    <row r="13" spans="1:22" x14ac:dyDescent="0.25">
      <c r="A13" s="2">
        <v>184426</v>
      </c>
      <c r="B13" s="2" t="s">
        <v>81</v>
      </c>
      <c r="C13" t="s">
        <v>46</v>
      </c>
      <c r="E13" t="s">
        <v>2</v>
      </c>
      <c r="F13" s="5">
        <v>2</v>
      </c>
      <c r="G13" s="5">
        <v>2</v>
      </c>
      <c r="H13" s="5">
        <v>2</v>
      </c>
      <c r="I13" s="5">
        <v>2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9</v>
      </c>
      <c r="P13" s="5">
        <v>7</v>
      </c>
      <c r="Q13" s="5">
        <v>3</v>
      </c>
      <c r="R13" s="5">
        <v>3</v>
      </c>
      <c r="S13" s="5">
        <v>3</v>
      </c>
      <c r="T13" s="5">
        <v>2</v>
      </c>
      <c r="U13" s="5">
        <f t="shared" si="0"/>
        <v>40</v>
      </c>
      <c r="V13" s="6">
        <f t="shared" si="1"/>
        <v>1</v>
      </c>
    </row>
    <row r="14" spans="1:22" x14ac:dyDescent="0.25">
      <c r="A14" s="2">
        <v>141097</v>
      </c>
      <c r="B14" s="2" t="s">
        <v>81</v>
      </c>
      <c r="C14" t="s">
        <v>1</v>
      </c>
      <c r="E14" t="s">
        <v>37</v>
      </c>
      <c r="F14" s="5">
        <v>2</v>
      </c>
      <c r="G14" s="5">
        <v>0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9</v>
      </c>
      <c r="P14" s="5">
        <v>7</v>
      </c>
      <c r="Q14" s="5">
        <v>3</v>
      </c>
      <c r="R14" s="5">
        <v>3</v>
      </c>
      <c r="S14" s="5">
        <v>3</v>
      </c>
      <c r="T14" s="5">
        <v>2</v>
      </c>
      <c r="U14" s="5">
        <f t="shared" si="0"/>
        <v>36</v>
      </c>
      <c r="V14" s="6">
        <f t="shared" si="1"/>
        <v>0.9</v>
      </c>
    </row>
    <row r="15" spans="1:22" x14ac:dyDescent="0.25">
      <c r="A15" s="2">
        <v>137764</v>
      </c>
      <c r="B15" s="2" t="s">
        <v>80</v>
      </c>
      <c r="C15" t="s">
        <v>7</v>
      </c>
      <c r="E15" t="s">
        <v>19</v>
      </c>
      <c r="F15" s="5">
        <v>0</v>
      </c>
      <c r="G15" s="5">
        <v>0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9</v>
      </c>
      <c r="P15" s="5">
        <v>7</v>
      </c>
      <c r="Q15" s="5">
        <v>3</v>
      </c>
      <c r="R15" s="5">
        <v>3</v>
      </c>
      <c r="S15" s="5">
        <v>3</v>
      </c>
      <c r="T15" s="5">
        <v>2</v>
      </c>
      <c r="U15" s="5">
        <f t="shared" si="0"/>
        <v>34</v>
      </c>
      <c r="V15" s="6">
        <f t="shared" si="1"/>
        <v>0.85</v>
      </c>
    </row>
    <row r="16" spans="1:22" x14ac:dyDescent="0.25">
      <c r="A16" s="2">
        <v>185537</v>
      </c>
      <c r="B16" s="2" t="s">
        <v>80</v>
      </c>
      <c r="C16" t="s">
        <v>9</v>
      </c>
      <c r="E16" t="s">
        <v>20</v>
      </c>
      <c r="F16" s="5">
        <v>2</v>
      </c>
      <c r="G16" s="5">
        <v>2</v>
      </c>
      <c r="H16" s="5">
        <v>0</v>
      </c>
      <c r="I16" s="5">
        <v>1</v>
      </c>
      <c r="J16" s="5">
        <v>1</v>
      </c>
      <c r="K16" s="5">
        <v>0</v>
      </c>
      <c r="L16" s="5">
        <v>0</v>
      </c>
      <c r="M16" s="5">
        <v>0</v>
      </c>
      <c r="N16" s="5">
        <v>1</v>
      </c>
      <c r="O16" s="5">
        <v>4</v>
      </c>
      <c r="P16" s="5">
        <v>7</v>
      </c>
      <c r="Q16" s="5">
        <v>3</v>
      </c>
      <c r="R16" s="5">
        <v>3</v>
      </c>
      <c r="S16" s="5">
        <v>3</v>
      </c>
      <c r="T16" s="5">
        <v>2</v>
      </c>
      <c r="U16" s="5">
        <f t="shared" si="0"/>
        <v>29</v>
      </c>
      <c r="V16" s="6">
        <f t="shared" si="1"/>
        <v>0.72499999999999998</v>
      </c>
    </row>
    <row r="17" spans="1:22" x14ac:dyDescent="0.25">
      <c r="A17" s="2">
        <v>185537</v>
      </c>
      <c r="B17" s="2" t="s">
        <v>80</v>
      </c>
      <c r="C17" t="s">
        <v>13</v>
      </c>
      <c r="E17" t="s">
        <v>47</v>
      </c>
      <c r="F17" s="5">
        <v>0</v>
      </c>
      <c r="G17" s="5">
        <v>2</v>
      </c>
      <c r="H17" s="5">
        <v>1</v>
      </c>
      <c r="I17" s="5">
        <v>0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0</v>
      </c>
      <c r="P17" s="5">
        <v>0</v>
      </c>
      <c r="Q17" s="5">
        <v>3</v>
      </c>
      <c r="R17" s="5">
        <v>3</v>
      </c>
      <c r="S17" s="5">
        <v>3</v>
      </c>
      <c r="T17" s="5">
        <v>2</v>
      </c>
      <c r="U17" s="5">
        <f t="shared" si="0"/>
        <v>19</v>
      </c>
      <c r="V17" s="6">
        <f t="shared" si="1"/>
        <v>0.47499999999999998</v>
      </c>
    </row>
    <row r="18" spans="1:22" x14ac:dyDescent="0.25">
      <c r="A18" s="2">
        <v>156651</v>
      </c>
      <c r="B18" s="2" t="s">
        <v>80</v>
      </c>
      <c r="C18" t="s">
        <v>32</v>
      </c>
      <c r="E18" t="s">
        <v>22</v>
      </c>
      <c r="F18" s="5">
        <v>2</v>
      </c>
      <c r="G18" s="5">
        <v>0</v>
      </c>
      <c r="H18" s="5">
        <v>0</v>
      </c>
      <c r="I18" s="5">
        <v>0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9</v>
      </c>
      <c r="P18" s="5">
        <v>7</v>
      </c>
      <c r="Q18" s="5">
        <v>3</v>
      </c>
      <c r="R18" s="5">
        <v>3</v>
      </c>
      <c r="S18" s="5">
        <v>3</v>
      </c>
      <c r="T18" s="5">
        <v>2</v>
      </c>
      <c r="U18" s="5">
        <f t="shared" si="0"/>
        <v>34</v>
      </c>
      <c r="V18" s="6">
        <f t="shared" si="1"/>
        <v>0.85</v>
      </c>
    </row>
    <row r="19" spans="1:22" x14ac:dyDescent="0.25">
      <c r="A19" s="2">
        <v>182204</v>
      </c>
      <c r="B19" s="2" t="s">
        <v>80</v>
      </c>
      <c r="C19" t="s">
        <v>16</v>
      </c>
      <c r="E19" t="s">
        <v>12</v>
      </c>
      <c r="F19" s="5">
        <v>2</v>
      </c>
      <c r="G19" s="5">
        <v>2</v>
      </c>
      <c r="H19" s="5">
        <v>2</v>
      </c>
      <c r="I19" s="5">
        <v>0</v>
      </c>
      <c r="J19" s="5">
        <v>0</v>
      </c>
      <c r="K19" s="5">
        <v>1</v>
      </c>
      <c r="L19" s="5">
        <v>1</v>
      </c>
      <c r="M19" s="5">
        <v>1</v>
      </c>
      <c r="N19" s="5">
        <v>1</v>
      </c>
      <c r="O19" s="5">
        <v>5</v>
      </c>
      <c r="P19" s="5">
        <v>7</v>
      </c>
      <c r="Q19" s="5">
        <v>0</v>
      </c>
      <c r="R19" s="5">
        <v>0</v>
      </c>
      <c r="S19" s="5">
        <v>0</v>
      </c>
      <c r="T19" s="5">
        <v>1</v>
      </c>
      <c r="U19" s="5">
        <f t="shared" si="0"/>
        <v>23</v>
      </c>
      <c r="V19" s="6">
        <f t="shared" si="1"/>
        <v>0.57499999999999996</v>
      </c>
    </row>
    <row r="20" spans="1:22" x14ac:dyDescent="0.25">
      <c r="A20" s="2">
        <v>156651</v>
      </c>
      <c r="B20" s="2" t="s">
        <v>80</v>
      </c>
      <c r="C20" t="s">
        <v>21</v>
      </c>
      <c r="E20" t="s">
        <v>33</v>
      </c>
      <c r="F20" s="5">
        <v>0</v>
      </c>
      <c r="G20" s="5">
        <v>2</v>
      </c>
      <c r="H20" s="5">
        <v>2</v>
      </c>
      <c r="I20" s="5">
        <v>2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9</v>
      </c>
      <c r="P20" s="5">
        <v>7</v>
      </c>
      <c r="Q20" s="5">
        <v>3</v>
      </c>
      <c r="R20" s="5">
        <v>3</v>
      </c>
      <c r="S20" s="5">
        <v>3</v>
      </c>
      <c r="T20" s="5">
        <v>2</v>
      </c>
      <c r="U20" s="5">
        <f t="shared" si="0"/>
        <v>38</v>
      </c>
      <c r="V20" s="6">
        <f t="shared" si="1"/>
        <v>0.95</v>
      </c>
    </row>
    <row r="21" spans="1:22" x14ac:dyDescent="0.25">
      <c r="A21" s="2">
        <v>166650</v>
      </c>
      <c r="B21" s="2" t="s">
        <v>80</v>
      </c>
      <c r="C21" t="s">
        <v>25</v>
      </c>
      <c r="E21" t="s">
        <v>41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1</v>
      </c>
      <c r="O21" s="5">
        <v>9</v>
      </c>
      <c r="P21" s="5">
        <v>7</v>
      </c>
      <c r="Q21" s="5">
        <v>3</v>
      </c>
      <c r="R21" s="5">
        <v>3</v>
      </c>
      <c r="S21" s="5">
        <v>3</v>
      </c>
      <c r="T21" s="5">
        <v>2</v>
      </c>
      <c r="U21" s="5">
        <f t="shared" si="0"/>
        <v>28</v>
      </c>
      <c r="V21" s="6">
        <f t="shared" si="1"/>
        <v>0.7</v>
      </c>
    </row>
    <row r="22" spans="1:22" x14ac:dyDescent="0.25">
      <c r="A22" s="2">
        <v>176649</v>
      </c>
      <c r="B22" s="2" t="s">
        <v>80</v>
      </c>
      <c r="C22" t="s">
        <v>1</v>
      </c>
      <c r="E22" t="s">
        <v>15</v>
      </c>
      <c r="F22" s="5">
        <v>2</v>
      </c>
      <c r="G22" s="5">
        <v>2</v>
      </c>
      <c r="H22" s="5">
        <v>2</v>
      </c>
      <c r="I22" s="5">
        <v>0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9</v>
      </c>
      <c r="P22" s="5">
        <v>7</v>
      </c>
      <c r="Q22" s="5">
        <v>3</v>
      </c>
      <c r="R22" s="5">
        <v>3</v>
      </c>
      <c r="S22" s="5">
        <v>3</v>
      </c>
      <c r="T22" s="5">
        <v>2</v>
      </c>
      <c r="U22" s="5">
        <f t="shared" si="0"/>
        <v>38</v>
      </c>
      <c r="V22" s="6">
        <f t="shared" si="1"/>
        <v>0.95</v>
      </c>
    </row>
    <row r="23" spans="1:22" x14ac:dyDescent="0.25">
      <c r="A23" s="2">
        <v>178871</v>
      </c>
      <c r="B23" s="2" t="s">
        <v>80</v>
      </c>
      <c r="C23" t="s">
        <v>36</v>
      </c>
      <c r="E23" t="s">
        <v>17</v>
      </c>
      <c r="F23" s="5">
        <v>2</v>
      </c>
      <c r="G23" s="5">
        <v>2</v>
      </c>
      <c r="H23" s="5">
        <v>2</v>
      </c>
      <c r="I23" s="5">
        <v>0</v>
      </c>
      <c r="J23" s="5">
        <v>0</v>
      </c>
      <c r="K23" s="5">
        <v>1</v>
      </c>
      <c r="L23" s="5">
        <v>0</v>
      </c>
      <c r="M23" s="5">
        <v>1</v>
      </c>
      <c r="N23" s="5">
        <v>1</v>
      </c>
      <c r="O23" s="5">
        <v>4</v>
      </c>
      <c r="P23" s="5">
        <v>7</v>
      </c>
      <c r="Q23" s="5">
        <v>3</v>
      </c>
      <c r="R23" s="5">
        <v>3</v>
      </c>
      <c r="S23" s="5">
        <v>3</v>
      </c>
      <c r="T23" s="5">
        <v>2</v>
      </c>
      <c r="U23" s="5">
        <f t="shared" si="0"/>
        <v>31</v>
      </c>
      <c r="V23" s="6">
        <f t="shared" si="1"/>
        <v>0.77500000000000002</v>
      </c>
    </row>
    <row r="24" spans="1:22" x14ac:dyDescent="0.25">
      <c r="A24" s="2">
        <v>164428</v>
      </c>
      <c r="B24" s="2" t="s">
        <v>80</v>
      </c>
      <c r="C24" t="s">
        <v>48</v>
      </c>
      <c r="E24" t="s">
        <v>54</v>
      </c>
      <c r="F24" s="5">
        <v>2</v>
      </c>
      <c r="G24" s="5">
        <v>0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9</v>
      </c>
      <c r="P24" s="5">
        <v>7</v>
      </c>
      <c r="Q24" s="5">
        <v>0</v>
      </c>
      <c r="R24" s="5">
        <v>0</v>
      </c>
      <c r="S24" s="5">
        <v>0</v>
      </c>
      <c r="T24" s="5">
        <v>1</v>
      </c>
      <c r="U24" s="5">
        <f t="shared" si="0"/>
        <v>26</v>
      </c>
      <c r="V24" s="6">
        <f t="shared" si="1"/>
        <v>0.65</v>
      </c>
    </row>
    <row r="25" spans="1:22" x14ac:dyDescent="0.25">
      <c r="A25" s="2">
        <v>146652</v>
      </c>
      <c r="B25" s="2" t="s">
        <v>80</v>
      </c>
      <c r="C25" t="s">
        <v>53</v>
      </c>
      <c r="E25" t="s">
        <v>43</v>
      </c>
      <c r="F25" s="5">
        <v>0</v>
      </c>
      <c r="G25" s="5">
        <v>0</v>
      </c>
      <c r="H25" s="5">
        <v>1</v>
      </c>
      <c r="I25" s="5">
        <v>0</v>
      </c>
      <c r="J25" s="5">
        <v>0</v>
      </c>
      <c r="K25" s="5">
        <v>1</v>
      </c>
      <c r="L25" s="5">
        <v>1</v>
      </c>
      <c r="M25" s="5">
        <v>1</v>
      </c>
      <c r="N25" s="5">
        <v>1</v>
      </c>
      <c r="O25" s="5">
        <v>9</v>
      </c>
      <c r="P25" s="5">
        <v>7</v>
      </c>
      <c r="Q25" s="5">
        <v>0</v>
      </c>
      <c r="R25" s="5">
        <v>0</v>
      </c>
      <c r="S25" s="5">
        <v>0</v>
      </c>
      <c r="T25" s="5">
        <v>1</v>
      </c>
      <c r="U25" s="5">
        <f t="shared" si="0"/>
        <v>22</v>
      </c>
      <c r="V25" s="6">
        <f t="shared" si="1"/>
        <v>0.55000000000000004</v>
      </c>
    </row>
    <row r="26" spans="1:22" x14ac:dyDescent="0.25">
      <c r="A26" s="2">
        <v>171094</v>
      </c>
      <c r="B26" s="2" t="s">
        <v>80</v>
      </c>
      <c r="C26" t="s">
        <v>55</v>
      </c>
      <c r="E26" t="s">
        <v>56</v>
      </c>
      <c r="F26" s="5">
        <v>2</v>
      </c>
      <c r="G26" s="5">
        <v>2</v>
      </c>
      <c r="H26" s="5">
        <v>2</v>
      </c>
      <c r="I26" s="5">
        <v>0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9</v>
      </c>
      <c r="P26" s="5">
        <v>7</v>
      </c>
      <c r="Q26" s="5">
        <v>3</v>
      </c>
      <c r="R26" s="5">
        <v>3</v>
      </c>
      <c r="S26" s="5">
        <v>3</v>
      </c>
      <c r="T26" s="5">
        <v>2</v>
      </c>
      <c r="U26" s="5">
        <f t="shared" si="0"/>
        <v>38</v>
      </c>
      <c r="V26" s="6">
        <f t="shared" si="1"/>
        <v>0.95</v>
      </c>
    </row>
    <row r="27" spans="1:22" x14ac:dyDescent="0.25">
      <c r="A27" s="2">
        <v>158873</v>
      </c>
      <c r="B27" s="2" t="s">
        <v>82</v>
      </c>
      <c r="C27" t="s">
        <v>1</v>
      </c>
      <c r="E27" t="s">
        <v>26</v>
      </c>
      <c r="F27" s="5">
        <v>2</v>
      </c>
      <c r="G27" s="5">
        <v>2</v>
      </c>
      <c r="H27" s="5">
        <v>2</v>
      </c>
      <c r="I27" s="5">
        <v>2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9</v>
      </c>
      <c r="P27" s="5">
        <v>7</v>
      </c>
      <c r="Q27" s="5">
        <v>3</v>
      </c>
      <c r="R27" s="5">
        <v>3</v>
      </c>
      <c r="S27" s="5">
        <v>3</v>
      </c>
      <c r="T27" s="5">
        <v>2</v>
      </c>
      <c r="U27" s="5">
        <f t="shared" si="0"/>
        <v>40</v>
      </c>
      <c r="V27" s="6">
        <f t="shared" si="1"/>
        <v>1</v>
      </c>
    </row>
    <row r="28" spans="1:22" x14ac:dyDescent="0.25">
      <c r="A28" s="2">
        <v>143319</v>
      </c>
      <c r="B28" s="2" t="s">
        <v>82</v>
      </c>
      <c r="C28" t="s">
        <v>3</v>
      </c>
      <c r="E28" t="s">
        <v>30</v>
      </c>
      <c r="F28" s="5">
        <v>2</v>
      </c>
      <c r="G28" s="5">
        <v>2</v>
      </c>
      <c r="H28" s="5">
        <v>2</v>
      </c>
      <c r="I28" s="5">
        <v>0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9</v>
      </c>
      <c r="P28" s="5">
        <v>7</v>
      </c>
      <c r="Q28" s="5">
        <v>3</v>
      </c>
      <c r="R28" s="5">
        <v>3</v>
      </c>
      <c r="S28" s="5">
        <v>3</v>
      </c>
      <c r="T28" s="5">
        <v>2</v>
      </c>
      <c r="U28" s="5">
        <f t="shared" si="0"/>
        <v>38</v>
      </c>
      <c r="V28" s="6">
        <f t="shared" si="1"/>
        <v>0.95</v>
      </c>
    </row>
    <row r="29" spans="1:22" x14ac:dyDescent="0.25">
      <c r="A29" s="2">
        <v>146652</v>
      </c>
      <c r="B29" s="2" t="s">
        <v>82</v>
      </c>
      <c r="C29" t="s">
        <v>5</v>
      </c>
      <c r="E29" t="s">
        <v>39</v>
      </c>
      <c r="F29" s="5">
        <v>2</v>
      </c>
      <c r="G29" s="5">
        <v>2</v>
      </c>
      <c r="H29" s="5">
        <v>2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7</v>
      </c>
      <c r="P29" s="5">
        <v>7</v>
      </c>
      <c r="Q29" s="5">
        <v>3</v>
      </c>
      <c r="R29" s="5">
        <v>3</v>
      </c>
      <c r="S29" s="5">
        <v>3</v>
      </c>
      <c r="T29" s="5">
        <v>2</v>
      </c>
      <c r="U29" s="5">
        <f t="shared" si="0"/>
        <v>37</v>
      </c>
      <c r="V29" s="6">
        <f t="shared" si="1"/>
        <v>0.92500000000000004</v>
      </c>
    </row>
    <row r="30" spans="1:22" x14ac:dyDescent="0.25">
      <c r="A30" s="2">
        <v>139986</v>
      </c>
      <c r="B30" s="2" t="s">
        <v>82</v>
      </c>
      <c r="C30" t="s">
        <v>6</v>
      </c>
      <c r="E30" t="s">
        <v>4</v>
      </c>
      <c r="F30" s="5">
        <v>2</v>
      </c>
      <c r="G30" s="5">
        <v>2</v>
      </c>
      <c r="H30" s="5">
        <v>2</v>
      </c>
      <c r="I30" s="5">
        <v>1</v>
      </c>
      <c r="J30" s="5">
        <v>0</v>
      </c>
      <c r="K30" s="5">
        <v>1</v>
      </c>
      <c r="L30" s="5">
        <v>1</v>
      </c>
      <c r="M30" s="5">
        <v>1</v>
      </c>
      <c r="N30" s="5">
        <v>1</v>
      </c>
      <c r="O30" s="5">
        <v>5</v>
      </c>
      <c r="P30" s="5">
        <v>7</v>
      </c>
      <c r="Q30" s="5">
        <v>0</v>
      </c>
      <c r="R30" s="5">
        <v>0</v>
      </c>
      <c r="S30" s="5">
        <v>0</v>
      </c>
      <c r="T30" s="5">
        <v>1</v>
      </c>
      <c r="U30" s="5">
        <f t="shared" si="0"/>
        <v>24</v>
      </c>
      <c r="V30" s="6">
        <f t="shared" si="1"/>
        <v>0.6</v>
      </c>
    </row>
    <row r="31" spans="1:22" x14ac:dyDescent="0.25">
      <c r="A31" s="2">
        <v>152207</v>
      </c>
      <c r="B31" s="2" t="s">
        <v>82</v>
      </c>
      <c r="C31" t="s">
        <v>27</v>
      </c>
      <c r="E31" t="s">
        <v>52</v>
      </c>
      <c r="F31" s="5">
        <v>2</v>
      </c>
      <c r="G31" s="5">
        <v>0</v>
      </c>
      <c r="H31" s="5">
        <v>1</v>
      </c>
      <c r="I31" s="5">
        <v>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7</v>
      </c>
      <c r="P31" s="5">
        <v>7</v>
      </c>
      <c r="Q31" s="5">
        <v>0</v>
      </c>
      <c r="R31" s="5">
        <v>0</v>
      </c>
      <c r="S31" s="5">
        <v>0</v>
      </c>
      <c r="T31" s="5">
        <v>1</v>
      </c>
      <c r="U31" s="5">
        <f t="shared" si="0"/>
        <v>23</v>
      </c>
      <c r="V31" s="6">
        <f t="shared" si="1"/>
        <v>0.57499999999999996</v>
      </c>
    </row>
    <row r="32" spans="1:22" x14ac:dyDescent="0.25">
      <c r="A32" s="2">
        <v>149985</v>
      </c>
      <c r="B32" s="2" t="s">
        <v>82</v>
      </c>
      <c r="C32" t="s">
        <v>40</v>
      </c>
      <c r="E32" t="s">
        <v>10</v>
      </c>
      <c r="F32" s="5">
        <v>2</v>
      </c>
      <c r="G32" s="5">
        <v>2</v>
      </c>
      <c r="H32" s="5">
        <v>2</v>
      </c>
      <c r="I32" s="5">
        <v>2</v>
      </c>
      <c r="J32" s="5">
        <v>0</v>
      </c>
      <c r="K32" s="5">
        <v>0</v>
      </c>
      <c r="L32" s="5">
        <v>0</v>
      </c>
      <c r="M32" s="5">
        <v>0</v>
      </c>
      <c r="N32" s="5">
        <v>1</v>
      </c>
      <c r="O32" s="5">
        <v>6</v>
      </c>
      <c r="P32" s="5">
        <v>7</v>
      </c>
      <c r="Q32" s="5">
        <v>0</v>
      </c>
      <c r="R32" s="5">
        <v>0</v>
      </c>
      <c r="S32" s="5">
        <v>0</v>
      </c>
      <c r="T32" s="5">
        <v>1</v>
      </c>
      <c r="U32" s="5">
        <f t="shared" si="0"/>
        <v>23</v>
      </c>
      <c r="V32" s="6">
        <f t="shared" si="1"/>
        <v>0.57499999999999996</v>
      </c>
    </row>
    <row r="33" spans="1:22" x14ac:dyDescent="0.25">
      <c r="A33" s="2">
        <v>172205</v>
      </c>
      <c r="B33" s="2" t="s">
        <v>82</v>
      </c>
      <c r="C33" t="s">
        <v>42</v>
      </c>
      <c r="E33" t="s">
        <v>10</v>
      </c>
      <c r="F33" s="5">
        <v>2</v>
      </c>
      <c r="G33" s="5">
        <v>0</v>
      </c>
      <c r="H33" s="5">
        <v>1</v>
      </c>
      <c r="I33" s="5">
        <v>1</v>
      </c>
      <c r="J33" s="5">
        <v>0</v>
      </c>
      <c r="K33" s="5">
        <v>1</v>
      </c>
      <c r="L33" s="5">
        <v>1</v>
      </c>
      <c r="M33" s="5">
        <v>1</v>
      </c>
      <c r="N33" s="5">
        <v>1</v>
      </c>
      <c r="O33" s="5">
        <v>7</v>
      </c>
      <c r="P33" s="5">
        <v>7</v>
      </c>
      <c r="Q33" s="5">
        <v>3</v>
      </c>
      <c r="R33" s="5">
        <v>3</v>
      </c>
      <c r="S33" s="5">
        <v>3</v>
      </c>
      <c r="T33" s="5">
        <v>2</v>
      </c>
      <c r="U33" s="5">
        <f t="shared" si="0"/>
        <v>33</v>
      </c>
      <c r="V33" s="6">
        <f t="shared" si="1"/>
        <v>0.82499999999999996</v>
      </c>
    </row>
    <row r="34" spans="1:22" x14ac:dyDescent="0.25">
      <c r="A34" s="2">
        <v>158873</v>
      </c>
      <c r="B34" s="2" t="s">
        <v>82</v>
      </c>
      <c r="C34" t="s">
        <v>44</v>
      </c>
      <c r="E34" t="s">
        <v>51</v>
      </c>
      <c r="F34" s="5">
        <v>0</v>
      </c>
      <c r="G34" s="5">
        <v>2</v>
      </c>
      <c r="H34" s="5">
        <v>1</v>
      </c>
      <c r="I34" s="5">
        <v>1</v>
      </c>
      <c r="J34" s="5">
        <v>0</v>
      </c>
      <c r="K34" s="5">
        <v>1</v>
      </c>
      <c r="L34" s="5">
        <v>1</v>
      </c>
      <c r="M34" s="5">
        <v>1</v>
      </c>
      <c r="N34" s="5">
        <v>1</v>
      </c>
      <c r="O34" s="5">
        <v>0</v>
      </c>
      <c r="P34" s="5">
        <v>5</v>
      </c>
      <c r="Q34" s="5">
        <v>0</v>
      </c>
      <c r="R34" s="5">
        <v>0</v>
      </c>
      <c r="S34" s="5">
        <v>0</v>
      </c>
      <c r="T34" s="5">
        <v>1</v>
      </c>
      <c r="U34" s="5">
        <f t="shared" si="0"/>
        <v>14</v>
      </c>
      <c r="V34" s="6">
        <f t="shared" si="1"/>
        <v>0.35</v>
      </c>
    </row>
  </sheetData>
  <sortState xmlns:xlrd2="http://schemas.microsoft.com/office/spreadsheetml/2017/richdata2" ref="A5:V34">
    <sortCondition ref="B5"/>
  </sortState>
  <mergeCells count="1">
    <mergeCell ref="A1:V1"/>
  </mergeCells>
  <pageMargins left="0.23622047244094491" right="0.23622047244094491" top="0.74803149606299213" bottom="0.74803149606299213" header="0.31496062992125984" footer="0.31496062992125984"/>
  <pageSetup paperSize="9" scale="78" fitToHeight="0" orientation="landscape" r:id="rId1"/>
  <headerFooter>
    <oddFooter>&amp;C&amp;P</oddFooter>
  </headerFooter>
  <rowBreaks count="2" manualBreakCount="2">
    <brk id="14" max="16383" man="1"/>
    <brk id="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cp:lastPrinted>2026-09-28T16:15:40Z</cp:lastPrinted>
  <dcterms:created xsi:type="dcterms:W3CDTF">2017-06-13T06:46:41Z</dcterms:created>
  <dcterms:modified xsi:type="dcterms:W3CDTF">2026-09-28T16:16:48Z</dcterms:modified>
</cp:coreProperties>
</file>