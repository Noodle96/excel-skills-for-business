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2\"/>
    </mc:Choice>
  </mc:AlternateContent>
  <xr:revisionPtr revIDLastSave="0" documentId="13_ncr:1_{B61FD637-FFE8-4D7E-B6B9-A8DD04A2C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Sheet1!$A$6:$J$26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6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</calcChain>
</file>

<file path=xl/sharedStrings.xml><?xml version="1.0" encoding="utf-8"?>
<sst xmlns="http://schemas.openxmlformats.org/spreadsheetml/2006/main" count="191" uniqueCount="160">
  <si>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</si>
  <si>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</si>
  <si>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</si>
  <si>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</si>
  <si>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</si>
  <si>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</si>
  <si>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</si>
  <si>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</si>
  <si>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</si>
  <si>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</si>
  <si>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</si>
  <si>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</si>
  <si>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</si>
  <si>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</si>
  <si>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</si>
  <si>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</si>
  <si>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</si>
  <si>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</si>
  <si>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</si>
  <si>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</si>
  <si>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</si>
  <si>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</si>
  <si>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</si>
  <si>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</si>
  <si>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</si>
  <si>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</si>
  <si>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</si>
  <si>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</si>
  <si>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</si>
  <si>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</si>
  <si>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</si>
  <si>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</si>
  <si>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</si>
  <si>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</si>
  <si>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</si>
  <si>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</si>
  <si>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</si>
  <si>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</si>
  <si>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</si>
  <si>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</si>
  <si>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</si>
  <si>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</si>
  <si>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</si>
  <si>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</si>
  <si>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</si>
  <si>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</si>
  <si>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</si>
  <si>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</si>
  <si>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</si>
  <si>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</si>
  <si>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</si>
  <si>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</si>
  <si>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</si>
  <si>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</si>
  <si>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</si>
  <si>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</si>
  <si>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</si>
  <si>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</si>
  <si>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</si>
  <si>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</si>
  <si>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</si>
  <si>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</si>
  <si>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</si>
  <si>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</si>
  <si>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</si>
  <si>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</si>
  <si>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</si>
  <si>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</si>
  <si>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</si>
  <si>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</si>
  <si>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</si>
  <si>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</si>
  <si>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</si>
  <si>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</si>
  <si>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</si>
  <si>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</si>
  <si>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</si>
  <si>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</si>
  <si>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</si>
  <si>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</si>
  <si>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</si>
  <si>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</si>
  <si>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</si>
  <si>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</si>
  <si>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</si>
  <si>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</si>
  <si>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</si>
  <si>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</si>
  <si>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</si>
  <si>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</si>
  <si>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</si>
  <si>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</si>
  <si>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</si>
  <si>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</si>
  <si>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</si>
  <si>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</si>
  <si>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</si>
  <si>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</si>
  <si>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</si>
  <si>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</si>
  <si>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</si>
  <si>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</si>
  <si>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</si>
  <si>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</si>
  <si>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</si>
  <si>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</si>
  <si>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</si>
  <si>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</si>
  <si>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</si>
  <si>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</si>
  <si>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</si>
  <si>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</si>
  <si>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</si>
  <si>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</si>
  <si>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</si>
  <si>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</si>
  <si>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</si>
  <si>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</si>
  <si>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</si>
  <si>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</si>
  <si>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</si>
  <si>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</si>
  <si>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</si>
  <si>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</si>
  <si>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</si>
  <si>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</si>
  <si>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</si>
  <si>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</si>
  <si>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</si>
  <si>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</si>
  <si>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</si>
  <si>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</si>
  <si>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</si>
  <si>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</si>
  <si>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</si>
  <si>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</si>
  <si>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</si>
  <si>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</si>
  <si>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</si>
  <si>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</si>
  <si>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</si>
  <si>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</si>
  <si>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</si>
  <si>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</si>
  <si>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</si>
  <si>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</si>
  <si>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</si>
  <si>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</si>
  <si>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</si>
  <si>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</si>
  <si>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</si>
  <si>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</si>
  <si>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</si>
  <si>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</si>
  <si>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</si>
  <si>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</si>
  <si>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</si>
  <si>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</si>
  <si>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</si>
  <si>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Preston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</si>
</sst>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 applyFill="1" applyBorder="1" applyAlignment="1">
      <alignment horizontal="left" wrapText="1"/>
    </xf>
    <xf numFmtId="164" fontId="0" fillId="0" borderId="0" xfId="0" applyNumberFormat="1"/>
    <xf numFmtId="0" fontId="2" fillId="0" borderId="0" xfId="1"/>
    <xf numFmtId="0" fontId="0" fillId="0" borderId="0" xfId="0" applyNumberFormat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857250</xdr:colOff>
      <xdr:row>0</xdr:row>
      <xdr:rowOff>285750</xdr:rowOff>
    </xdr:from>
    <xdr:to>
      <xdr:col>4</xdr:col>
      <xdr:colOff>0</xdr:colOff>
      <xdr:row>3</xdr:row>
      <xdr:rowOff>31750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3677FC9-7962-421B-8CB3-629217B23468}"/>
            </a:ext>
          </a:extLst>
        </xdr:cNvPr>
        <xdr:cNvSpPr/>
      </xdr:nvSpPr>
      <xdr:spPr>
        <a:xfrm>
          <a:off x="2413000" y="285750"/>
          <a:ext cx="1270000" cy="423333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800"/>
            <a:t>=PROPER()</a:t>
          </a:r>
        </a:p>
      </xdr:txBody>
    </xdr:sp>
    <xdr:clientData/>
  </xdr:twoCellAnchor>
  <xdr:twoCellAnchor>
    <xdr:from>
      <xdr:col>4</xdr:col>
      <xdr:colOff>264583</xdr:colOff>
      <xdr:row>0</xdr:row>
      <xdr:rowOff>275166</xdr:rowOff>
    </xdr:from>
    <xdr:to>
      <xdr:col>4</xdr:col>
      <xdr:colOff>1534583</xdr:colOff>
      <xdr:row>3</xdr:row>
      <xdr:rowOff>21166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D9E4F22-E1DF-47C2-A954-E216ED54EE76}"/>
            </a:ext>
          </a:extLst>
        </xdr:cNvPr>
        <xdr:cNvSpPr/>
      </xdr:nvSpPr>
      <xdr:spPr>
        <a:xfrm>
          <a:off x="3947583" y="275166"/>
          <a:ext cx="1270000" cy="423333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800"/>
            <a:t>=LOWER()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90" zoomScaleNormal="90" workbookViewId="0">
      <selection activeCell="N10" sqref="N10"/>
    </sheetView>
  </sheetViews>
  <sheetFormatPr defaultRowHeight="15" x14ac:dyDescent="0.25"/>
  <cols>
    <col min="1" max="1" width="10.28515625" customWidth="1"/>
    <col min="2" max="3" width="13" customWidth="1"/>
    <col min="4" max="4" width="18.85546875" customWidth="1"/>
    <col min="5" max="5" width="30.140625" customWidth="1"/>
    <col min="6" max="6" width="14" customWidth="1"/>
    <col min="7" max="7" width="13.28515625" customWidth="1"/>
    <col min="8" max="9" width="13.7109375" customWidth="1"/>
    <col min="10" max="10" width="17.7109375" customWidth="1"/>
    <col min="11" max="11" width="16.140625" customWidth="1"/>
    <col min="12" max="12" width="10.42578125" customWidth="1"/>
    <col min="13" max="13" width="12.7109375" customWidth="1"/>
    <col min="14" max="14" width="16.140625" customWidth="1"/>
    <col min="15" max="15" width="11.28515625" bestFit="1" customWidth="1"/>
  </cols>
  <sheetData>
    <row r="1" spans="1:14" ht="23.25" x14ac:dyDescent="0.35">
      <c r="A1" s="4" t="s">
        <v>117</v>
      </c>
      <c r="M1" s="7" t="s">
        <v>118</v>
      </c>
      <c r="N1" s="8"/>
    </row>
    <row r="5" spans="1:14" ht="31.5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84</v>
      </c>
      <c r="H5" s="6" t="s">
        <v>154</v>
      </c>
      <c r="I5" s="6" t="s">
        <v>155</v>
      </c>
      <c r="J5" s="6" t="s">
        <v>6</v>
      </c>
      <c r="K5" s="6" t="s">
        <v>7</v>
      </c>
      <c r="L5" s="6" t="s">
        <v>81</v>
      </c>
      <c r="M5" s="6" t="s">
        <v>8</v>
      </c>
      <c r="N5" s="6" t="s">
        <v>138</v>
      </c>
    </row>
    <row r="6" spans="1:14" x14ac:dyDescent="0.25">
      <c r="A6" t="s">
        <v>90</v>
      </c>
      <c r="B6" t="s">
        <v>66</v>
      </c>
      <c r="C6" s="9" t="s">
        <v>65</v>
      </c>
      <c r="D6" t="str">
        <f>PROPER(_xlfn.CONCAT(C6," ",B6))</f>
        <v>Stevie Bacata</v>
      </c>
      <c r="E6" t="str">
        <f>LOWER(C6&amp;"."&amp;B6&amp;"@pushpin.com")</f>
        <v>stevie.bacata@pushpin.com</v>
      </c>
      <c r="F6" s="1">
        <v>39556</v>
      </c>
      <c r="G6" s="3"/>
      <c r="H6" s="1">
        <v>42552</v>
      </c>
      <c r="I6" s="1"/>
      <c r="J6" s="2" t="s">
        <v>72</v>
      </c>
      <c r="K6" s="2" t="s">
        <v>119</v>
      </c>
      <c r="L6" s="1"/>
      <c r="M6" s="5"/>
    </row>
    <row r="7" spans="1:14" x14ac:dyDescent="0.25">
      <c r="A7" t="s">
        <v>85</v>
      </c>
      <c r="B7" t="s">
        <v>11</v>
      </c>
      <c r="C7" s="9" t="s">
        <v>17</v>
      </c>
      <c r="D7" t="str">
        <f t="shared" ref="D7:D40" si="0">PROPER(_xlfn.CONCAT(C7," ",B7))</f>
        <v>Adam Barry</v>
      </c>
      <c r="E7" t="str">
        <f t="shared" ref="E7:E40" si="1">LOWER(C7&amp;"."&amp;B7&amp;"@pushpin.com")</f>
        <v>adam.barry@pushpin.com</v>
      </c>
      <c r="F7" s="1">
        <v>38104</v>
      </c>
      <c r="G7" s="3"/>
      <c r="H7" s="1">
        <v>42825</v>
      </c>
      <c r="I7" s="1"/>
      <c r="J7" s="2" t="s">
        <v>36</v>
      </c>
      <c r="K7" s="2" t="s">
        <v>120</v>
      </c>
      <c r="L7" s="1"/>
      <c r="M7" s="5"/>
    </row>
    <row r="8" spans="1:14" x14ac:dyDescent="0.25">
      <c r="A8" t="s">
        <v>103</v>
      </c>
      <c r="B8" t="s">
        <v>60</v>
      </c>
      <c r="C8" s="9" t="s">
        <v>59</v>
      </c>
      <c r="D8" t="str">
        <f t="shared" si="0"/>
        <v>Connor Betts</v>
      </c>
      <c r="E8" t="str">
        <f t="shared" si="1"/>
        <v>connor.betts@pushpin.com</v>
      </c>
      <c r="F8" s="1">
        <v>41961</v>
      </c>
      <c r="G8" s="3"/>
      <c r="H8" s="1">
        <v>42656</v>
      </c>
      <c r="I8" s="1"/>
      <c r="J8" s="2" t="s">
        <v>72</v>
      </c>
      <c r="K8" s="2" t="s">
        <v>121</v>
      </c>
      <c r="L8" s="1"/>
      <c r="M8" s="5"/>
    </row>
    <row r="9" spans="1:14" x14ac:dyDescent="0.25">
      <c r="A9" t="s">
        <v>108</v>
      </c>
      <c r="B9" t="s">
        <v>157</v>
      </c>
      <c r="C9" s="9" t="s">
        <v>158</v>
      </c>
      <c r="D9" t="str">
        <f t="shared" si="0"/>
        <v>Carlos Martinez</v>
      </c>
      <c r="E9" t="str">
        <f t="shared" si="1"/>
        <v>carlos.martinez@pushpin.com</v>
      </c>
      <c r="F9" s="1">
        <v>42234</v>
      </c>
      <c r="G9" s="3"/>
      <c r="H9" s="1">
        <v>42804</v>
      </c>
      <c r="I9" s="1"/>
      <c r="J9" s="2" t="s">
        <v>23</v>
      </c>
      <c r="K9" s="2" t="s">
        <v>122</v>
      </c>
      <c r="L9" s="1"/>
      <c r="M9" s="5"/>
    </row>
    <row r="10" spans="1:14" x14ac:dyDescent="0.25">
      <c r="A10" t="s">
        <v>112</v>
      </c>
      <c r="B10" t="s">
        <v>62</v>
      </c>
      <c r="C10" s="9" t="s">
        <v>61</v>
      </c>
      <c r="D10" t="str">
        <f t="shared" si="0"/>
        <v>Yvette Biti</v>
      </c>
      <c r="E10" t="str">
        <f t="shared" si="1"/>
        <v>yvette.biti@pushpin.com</v>
      </c>
      <c r="F10" s="1">
        <v>42389</v>
      </c>
      <c r="G10" s="3"/>
      <c r="H10" s="1">
        <v>42566</v>
      </c>
      <c r="I10" s="1"/>
      <c r="J10" s="2" t="s">
        <v>72</v>
      </c>
      <c r="K10" s="2" t="s">
        <v>123</v>
      </c>
      <c r="L10" s="1"/>
      <c r="M10" s="5"/>
    </row>
    <row r="11" spans="1:14" x14ac:dyDescent="0.25">
      <c r="A11" t="s">
        <v>101</v>
      </c>
      <c r="B11" t="s">
        <v>31</v>
      </c>
      <c r="C11" s="9" t="s">
        <v>42</v>
      </c>
      <c r="D11" t="str">
        <f t="shared" si="0"/>
        <v>Jim Boller</v>
      </c>
      <c r="E11" t="str">
        <f t="shared" si="1"/>
        <v>jim.boller@pushpin.com</v>
      </c>
      <c r="F11" s="1">
        <v>41898</v>
      </c>
      <c r="G11" s="3"/>
      <c r="H11" s="1">
        <v>42551</v>
      </c>
      <c r="I11" s="1"/>
      <c r="J11" s="2" t="s">
        <v>21</v>
      </c>
      <c r="K11" s="2" t="s">
        <v>139</v>
      </c>
      <c r="L11" s="1"/>
      <c r="M11" s="5"/>
    </row>
    <row r="12" spans="1:14" x14ac:dyDescent="0.25">
      <c r="A12" t="s">
        <v>102</v>
      </c>
      <c r="B12" t="s">
        <v>64</v>
      </c>
      <c r="C12" s="9" t="s">
        <v>63</v>
      </c>
      <c r="D12" t="str">
        <f t="shared" si="0"/>
        <v>Charlie Bui</v>
      </c>
      <c r="E12" t="str">
        <f t="shared" si="1"/>
        <v>charlie.bui@pushpin.com</v>
      </c>
      <c r="F12" s="1">
        <v>41908</v>
      </c>
      <c r="G12" s="3"/>
      <c r="H12" s="1">
        <v>42619</v>
      </c>
      <c r="I12" s="1"/>
      <c r="J12" s="2" t="s">
        <v>72</v>
      </c>
      <c r="K12" s="2" t="s">
        <v>140</v>
      </c>
      <c r="L12" s="1"/>
      <c r="M12" s="5"/>
    </row>
    <row r="13" spans="1:14" x14ac:dyDescent="0.25">
      <c r="A13" t="s">
        <v>88</v>
      </c>
      <c r="B13" t="s">
        <v>46</v>
      </c>
      <c r="C13" s="9" t="s">
        <v>45</v>
      </c>
      <c r="D13" t="str">
        <f t="shared" si="0"/>
        <v>Tina Carlton</v>
      </c>
      <c r="E13" t="str">
        <f t="shared" si="1"/>
        <v>tina.carlton@pushpin.com</v>
      </c>
      <c r="F13" s="1">
        <v>38803</v>
      </c>
      <c r="G13" s="3"/>
      <c r="H13" s="1">
        <v>42761</v>
      </c>
      <c r="I13" s="1"/>
      <c r="J13" s="2" t="s">
        <v>72</v>
      </c>
      <c r="K13" s="2" t="s">
        <v>124</v>
      </c>
      <c r="L13" s="1"/>
      <c r="M13" s="5"/>
    </row>
    <row r="14" spans="1:14" x14ac:dyDescent="0.25">
      <c r="A14" t="s">
        <v>9</v>
      </c>
      <c r="B14" t="s">
        <v>33</v>
      </c>
      <c r="C14" s="9" t="s">
        <v>35</v>
      </c>
      <c r="D14" t="str">
        <f t="shared" si="0"/>
        <v>Joe Carol</v>
      </c>
      <c r="E14" t="str">
        <f t="shared" si="1"/>
        <v>joe.carol@pushpin.com</v>
      </c>
      <c r="F14" s="1">
        <v>36928</v>
      </c>
      <c r="G14" s="3"/>
      <c r="H14" s="1">
        <v>42596</v>
      </c>
      <c r="I14" s="1"/>
      <c r="J14" s="2" t="s">
        <v>34</v>
      </c>
      <c r="K14" s="2" t="s">
        <v>141</v>
      </c>
      <c r="L14" s="1"/>
      <c r="M14" s="5"/>
    </row>
    <row r="15" spans="1:14" x14ac:dyDescent="0.25">
      <c r="A15" t="s">
        <v>100</v>
      </c>
      <c r="B15" t="s">
        <v>16</v>
      </c>
      <c r="C15" s="9" t="s">
        <v>42</v>
      </c>
      <c r="D15" t="str">
        <f t="shared" si="0"/>
        <v>Jim Chaffee</v>
      </c>
      <c r="E15" t="str">
        <f t="shared" si="1"/>
        <v>jim.chaffee@pushpin.com</v>
      </c>
      <c r="F15" s="1">
        <v>41792</v>
      </c>
      <c r="G15" s="3"/>
      <c r="H15" s="1">
        <v>42544</v>
      </c>
      <c r="I15" s="1"/>
      <c r="J15" s="2" t="s">
        <v>18</v>
      </c>
      <c r="K15" s="2" t="s">
        <v>125</v>
      </c>
      <c r="L15" s="1"/>
      <c r="M15" s="5"/>
    </row>
    <row r="16" spans="1:14" x14ac:dyDescent="0.25">
      <c r="A16" t="s">
        <v>94</v>
      </c>
      <c r="B16" t="s">
        <v>48</v>
      </c>
      <c r="C16" s="9" t="s">
        <v>47</v>
      </c>
      <c r="D16" t="str">
        <f t="shared" si="0"/>
        <v>Samantha Chairs</v>
      </c>
      <c r="E16" t="str">
        <f t="shared" si="1"/>
        <v>samantha.chairs@pushpin.com</v>
      </c>
      <c r="F16" s="1">
        <v>40595</v>
      </c>
      <c r="G16" s="3"/>
      <c r="H16" s="1">
        <v>42629</v>
      </c>
      <c r="I16" s="1"/>
      <c r="J16" s="2" t="s">
        <v>72</v>
      </c>
      <c r="K16" s="2" t="s">
        <v>126</v>
      </c>
      <c r="L16" s="1"/>
      <c r="M16" s="5"/>
    </row>
    <row r="17" spans="1:13" x14ac:dyDescent="0.25">
      <c r="A17" t="s">
        <v>96</v>
      </c>
      <c r="B17" t="s">
        <v>83</v>
      </c>
      <c r="C17" s="9" t="s">
        <v>82</v>
      </c>
      <c r="D17" t="str">
        <f t="shared" si="0"/>
        <v>Uma Chaudri</v>
      </c>
      <c r="E17" t="str">
        <f t="shared" si="1"/>
        <v>uma.chaudri@pushpin.com</v>
      </c>
      <c r="F17" s="1">
        <v>40994</v>
      </c>
      <c r="G17" s="3"/>
      <c r="H17" s="1">
        <v>42848</v>
      </c>
      <c r="I17" s="1"/>
      <c r="J17" s="2" t="s">
        <v>23</v>
      </c>
      <c r="K17" s="2" t="s">
        <v>142</v>
      </c>
      <c r="L17" s="1"/>
      <c r="M17" s="5"/>
    </row>
    <row r="18" spans="1:13" x14ac:dyDescent="0.25">
      <c r="A18" t="s">
        <v>93</v>
      </c>
      <c r="B18" t="s">
        <v>43</v>
      </c>
      <c r="C18" s="9" t="s">
        <v>22</v>
      </c>
      <c r="D18" t="str">
        <f t="shared" si="0"/>
        <v>Elizabeth Chu</v>
      </c>
      <c r="E18" t="str">
        <f t="shared" si="1"/>
        <v>elizabeth.chu@pushpin.com</v>
      </c>
      <c r="F18" s="1">
        <v>40225</v>
      </c>
      <c r="G18" s="3"/>
      <c r="H18" s="1">
        <v>42860</v>
      </c>
      <c r="I18" s="1"/>
      <c r="J18" s="2" t="s">
        <v>80</v>
      </c>
      <c r="K18" s="2" t="s">
        <v>127</v>
      </c>
      <c r="L18" s="1"/>
      <c r="M18" s="5"/>
    </row>
    <row r="19" spans="1:13" x14ac:dyDescent="0.25">
      <c r="A19" t="s">
        <v>12</v>
      </c>
      <c r="B19" t="s">
        <v>26</v>
      </c>
      <c r="C19" s="9" t="s">
        <v>73</v>
      </c>
      <c r="D19" t="str">
        <f t="shared" si="0"/>
        <v>Eric Chung</v>
      </c>
      <c r="E19" t="str">
        <f t="shared" si="1"/>
        <v>eric.chung@pushpin.com</v>
      </c>
      <c r="F19" s="1">
        <v>36955</v>
      </c>
      <c r="G19" s="3"/>
      <c r="H19" s="1">
        <v>42540</v>
      </c>
      <c r="I19" s="1"/>
      <c r="J19" s="2" t="s">
        <v>80</v>
      </c>
      <c r="K19" s="2" t="s">
        <v>128</v>
      </c>
      <c r="L19" s="1"/>
      <c r="M19" s="5"/>
    </row>
    <row r="20" spans="1:13" x14ac:dyDescent="0.25">
      <c r="A20" t="s">
        <v>116</v>
      </c>
      <c r="B20" t="s">
        <v>30</v>
      </c>
      <c r="C20" s="9" t="s">
        <v>79</v>
      </c>
      <c r="D20" t="str">
        <f t="shared" si="0"/>
        <v>Elizabeth Clark</v>
      </c>
      <c r="E20" t="str">
        <f t="shared" si="1"/>
        <v>elizabeth.clark@pushpin.com</v>
      </c>
      <c r="F20" s="1">
        <v>42912</v>
      </c>
      <c r="G20" s="3"/>
      <c r="H20" s="1">
        <v>42828</v>
      </c>
      <c r="I20" s="1"/>
      <c r="J20" s="2" t="s">
        <v>36</v>
      </c>
      <c r="K20" s="2" t="s">
        <v>130</v>
      </c>
      <c r="L20" s="1"/>
      <c r="M20" s="5"/>
    </row>
    <row r="21" spans="1:13" x14ac:dyDescent="0.25">
      <c r="A21" t="s">
        <v>104</v>
      </c>
      <c r="B21" t="s">
        <v>30</v>
      </c>
      <c r="C21" s="9" t="s">
        <v>76</v>
      </c>
      <c r="D21" t="str">
        <f t="shared" si="0"/>
        <v>Anna Clark</v>
      </c>
      <c r="E21" t="str">
        <f t="shared" si="1"/>
        <v>anna.clark@pushpin.com</v>
      </c>
      <c r="F21" s="1">
        <v>41995</v>
      </c>
      <c r="G21" s="3"/>
      <c r="H21" s="1">
        <v>42731</v>
      </c>
      <c r="I21" s="1"/>
      <c r="J21" s="2" t="s">
        <v>21</v>
      </c>
      <c r="K21" s="2" t="s">
        <v>129</v>
      </c>
      <c r="L21" s="1"/>
      <c r="M21" s="5"/>
    </row>
    <row r="22" spans="1:13" x14ac:dyDescent="0.25">
      <c r="A22" t="s">
        <v>99</v>
      </c>
      <c r="B22" t="s">
        <v>13</v>
      </c>
      <c r="C22" s="9" t="s">
        <v>29</v>
      </c>
      <c r="D22" t="str">
        <f t="shared" si="0"/>
        <v>Sabrina Cole</v>
      </c>
      <c r="E22" t="str">
        <f t="shared" si="1"/>
        <v>sabrina.cole@pushpin.com</v>
      </c>
      <c r="F22" s="1">
        <v>41407</v>
      </c>
      <c r="G22" s="3"/>
      <c r="H22" s="1">
        <v>42720</v>
      </c>
      <c r="I22" s="1"/>
      <c r="J22" s="2" t="s">
        <v>36</v>
      </c>
      <c r="K22" s="2" t="s">
        <v>131</v>
      </c>
      <c r="L22" s="1"/>
      <c r="M22" s="5"/>
    </row>
    <row r="23" spans="1:13" x14ac:dyDescent="0.25">
      <c r="A23" t="s">
        <v>91</v>
      </c>
      <c r="B23" t="s">
        <v>37</v>
      </c>
      <c r="C23" s="9" t="s">
        <v>25</v>
      </c>
      <c r="D23" t="str">
        <f t="shared" si="0"/>
        <v>Janet Comuntzis</v>
      </c>
      <c r="E23" t="str">
        <f t="shared" si="1"/>
        <v>janet.comuntzis@pushpin.com</v>
      </c>
      <c r="F23" s="1">
        <v>39692</v>
      </c>
      <c r="G23" s="3"/>
      <c r="H23" s="1">
        <v>42598</v>
      </c>
      <c r="I23" s="1"/>
      <c r="J23" s="2" t="s">
        <v>36</v>
      </c>
      <c r="K23" s="2" t="s">
        <v>132</v>
      </c>
      <c r="L23" s="1"/>
      <c r="M23" s="5"/>
    </row>
    <row r="24" spans="1:13" x14ac:dyDescent="0.25">
      <c r="A24" t="s">
        <v>98</v>
      </c>
      <c r="B24" t="s">
        <v>10</v>
      </c>
      <c r="C24" s="9" t="s">
        <v>27</v>
      </c>
      <c r="D24" t="str">
        <f t="shared" si="0"/>
        <v>Bob Decker</v>
      </c>
      <c r="E24" t="str">
        <f t="shared" si="1"/>
        <v>bob.decker@pushpin.com</v>
      </c>
      <c r="F24" s="1">
        <v>41214</v>
      </c>
      <c r="G24" s="3"/>
      <c r="H24" s="1">
        <v>42566</v>
      </c>
      <c r="I24" s="1"/>
      <c r="J24" s="2" t="s">
        <v>80</v>
      </c>
      <c r="K24" s="2" t="s">
        <v>143</v>
      </c>
      <c r="L24" s="1"/>
      <c r="M24" s="5"/>
    </row>
    <row r="25" spans="1:13" x14ac:dyDescent="0.25">
      <c r="A25" t="s">
        <v>97</v>
      </c>
      <c r="B25" t="s">
        <v>44</v>
      </c>
      <c r="C25" s="9" t="s">
        <v>45</v>
      </c>
      <c r="D25" t="str">
        <f t="shared" si="0"/>
        <v>Tina Desiato</v>
      </c>
      <c r="E25" t="str">
        <f t="shared" si="1"/>
        <v>tina.desiato@pushpin.com</v>
      </c>
      <c r="F25" s="1">
        <v>41176</v>
      </c>
      <c r="G25" s="3"/>
      <c r="H25" s="1">
        <v>42835</v>
      </c>
      <c r="I25" s="1"/>
      <c r="J25" t="s">
        <v>80</v>
      </c>
      <c r="K25" s="2" t="s">
        <v>144</v>
      </c>
      <c r="L25" s="1"/>
      <c r="M25" s="5"/>
    </row>
    <row r="26" spans="1:13" x14ac:dyDescent="0.25">
      <c r="A26" t="s">
        <v>107</v>
      </c>
      <c r="B26" t="s">
        <v>19</v>
      </c>
      <c r="C26" s="9" t="s">
        <v>40</v>
      </c>
      <c r="D26" t="str">
        <f t="shared" si="0"/>
        <v>Alexandra Donnell</v>
      </c>
      <c r="E26" t="str">
        <f t="shared" si="1"/>
        <v>alexandra.donnell@pushpin.com</v>
      </c>
      <c r="F26" s="1">
        <v>42233</v>
      </c>
      <c r="G26" s="3"/>
      <c r="H26" s="1">
        <v>42658</v>
      </c>
      <c r="I26" s="1"/>
      <c r="J26" s="2" t="s">
        <v>21</v>
      </c>
      <c r="K26" s="2" t="s">
        <v>133</v>
      </c>
      <c r="L26" s="1"/>
      <c r="M26" s="5"/>
    </row>
    <row r="27" spans="1:13" x14ac:dyDescent="0.25">
      <c r="A27" t="s">
        <v>111</v>
      </c>
      <c r="B27" t="s">
        <v>24</v>
      </c>
      <c r="C27" s="9" t="s">
        <v>38</v>
      </c>
      <c r="D27" t="str">
        <f t="shared" si="0"/>
        <v>Mark Ellis</v>
      </c>
      <c r="E27" t="str">
        <f t="shared" si="1"/>
        <v>mark.ellis@pushpin.com</v>
      </c>
      <c r="F27" s="1">
        <v>42376</v>
      </c>
      <c r="G27" s="3"/>
      <c r="H27" s="1">
        <v>42614</v>
      </c>
      <c r="I27" s="1"/>
      <c r="J27" s="2" t="s">
        <v>80</v>
      </c>
      <c r="K27" s="2" t="s">
        <v>134</v>
      </c>
      <c r="L27" s="1"/>
      <c r="M27" s="5"/>
    </row>
    <row r="28" spans="1:13" x14ac:dyDescent="0.25">
      <c r="A28" t="s">
        <v>89</v>
      </c>
      <c r="B28" t="s">
        <v>68</v>
      </c>
      <c r="C28" s="9" t="s">
        <v>67</v>
      </c>
      <c r="D28" t="str">
        <f t="shared" si="0"/>
        <v>Nicholas Fernandes</v>
      </c>
      <c r="E28" t="str">
        <f t="shared" si="1"/>
        <v>nicholas.fernandes@pushpin.com</v>
      </c>
      <c r="F28" s="1">
        <v>39028</v>
      </c>
      <c r="G28" s="3"/>
      <c r="H28" s="1">
        <v>42817</v>
      </c>
      <c r="I28" s="1"/>
      <c r="J28" s="2" t="s">
        <v>21</v>
      </c>
      <c r="K28" s="2" t="s">
        <v>145</v>
      </c>
      <c r="L28" s="1"/>
      <c r="M28" s="5"/>
    </row>
    <row r="29" spans="1:13" x14ac:dyDescent="0.25">
      <c r="A29" t="s">
        <v>86</v>
      </c>
      <c r="B29" t="s">
        <v>41</v>
      </c>
      <c r="C29" s="9" t="s">
        <v>32</v>
      </c>
      <c r="D29" t="str">
        <f t="shared" si="0"/>
        <v>Mary Ferris</v>
      </c>
      <c r="E29" t="str">
        <f t="shared" si="1"/>
        <v>mary.ferris@pushpin.com</v>
      </c>
      <c r="F29" s="1">
        <v>38553</v>
      </c>
      <c r="G29" s="3"/>
      <c r="H29" s="1">
        <v>42845</v>
      </c>
      <c r="I29" s="1"/>
      <c r="J29" s="2" t="s">
        <v>72</v>
      </c>
      <c r="K29" s="2" t="s">
        <v>146</v>
      </c>
      <c r="L29" s="1"/>
      <c r="M29" s="5"/>
    </row>
    <row r="30" spans="1:13" x14ac:dyDescent="0.25">
      <c r="A30" t="s">
        <v>87</v>
      </c>
      <c r="B30" t="s">
        <v>39</v>
      </c>
      <c r="C30" s="9" t="s">
        <v>20</v>
      </c>
      <c r="D30" t="str">
        <f t="shared" si="0"/>
        <v>Susan Filosa</v>
      </c>
      <c r="E30" t="str">
        <f t="shared" si="1"/>
        <v>susan.filosa@pushpin.com</v>
      </c>
      <c r="F30" s="1">
        <v>38749</v>
      </c>
      <c r="G30" s="3"/>
      <c r="H30" s="1">
        <v>42776</v>
      </c>
      <c r="I30" s="1"/>
      <c r="J30" s="2" t="s">
        <v>36</v>
      </c>
      <c r="K30" s="2" t="s">
        <v>135</v>
      </c>
      <c r="L30" s="1"/>
      <c r="M30" s="5"/>
    </row>
    <row r="31" spans="1:13" x14ac:dyDescent="0.25">
      <c r="A31" t="s">
        <v>15</v>
      </c>
      <c r="B31" t="s">
        <v>28</v>
      </c>
      <c r="C31" s="9" t="s">
        <v>14</v>
      </c>
      <c r="D31" t="str">
        <f t="shared" si="0"/>
        <v>Daniel Flanders</v>
      </c>
      <c r="E31" t="str">
        <f t="shared" si="1"/>
        <v>daniel.flanders@pushpin.com</v>
      </c>
      <c r="F31" s="1">
        <v>37515</v>
      </c>
      <c r="G31" s="3"/>
      <c r="H31" s="1">
        <v>42586</v>
      </c>
      <c r="I31" s="1"/>
      <c r="J31" s="2" t="s">
        <v>72</v>
      </c>
      <c r="K31" s="2" t="s">
        <v>147</v>
      </c>
      <c r="L31" s="1"/>
      <c r="M31" s="5"/>
    </row>
    <row r="32" spans="1:13" x14ac:dyDescent="0.25">
      <c r="A32" t="s">
        <v>106</v>
      </c>
      <c r="B32" t="s">
        <v>54</v>
      </c>
      <c r="C32" s="9" t="s">
        <v>53</v>
      </c>
      <c r="D32" t="str">
        <f t="shared" si="0"/>
        <v>Leighton Forrest</v>
      </c>
      <c r="E32" t="str">
        <f t="shared" si="1"/>
        <v>leighton.forrest@pushpin.com</v>
      </c>
      <c r="F32" s="1">
        <v>42125</v>
      </c>
      <c r="G32" s="3"/>
      <c r="H32" s="1">
        <v>42710</v>
      </c>
      <c r="I32" s="1"/>
      <c r="J32" s="2" t="s">
        <v>72</v>
      </c>
      <c r="K32" s="2" t="s">
        <v>148</v>
      </c>
      <c r="L32" s="1"/>
      <c r="M32" s="5"/>
    </row>
    <row r="33" spans="1:13" x14ac:dyDescent="0.25">
      <c r="A33" t="s">
        <v>114</v>
      </c>
      <c r="B33" t="s">
        <v>52</v>
      </c>
      <c r="C33" s="9" t="s">
        <v>51</v>
      </c>
      <c r="D33" t="str">
        <f t="shared" si="0"/>
        <v>Phoebe Gour</v>
      </c>
      <c r="E33" t="str">
        <f t="shared" si="1"/>
        <v>phoebe.gour@pushpin.com</v>
      </c>
      <c r="F33" s="1">
        <v>42726</v>
      </c>
      <c r="G33" s="3"/>
      <c r="H33" s="1">
        <v>42539</v>
      </c>
      <c r="I33" s="1"/>
      <c r="J33" s="2" t="s">
        <v>72</v>
      </c>
      <c r="K33" s="2" t="s">
        <v>149</v>
      </c>
      <c r="L33" s="1"/>
      <c r="M33" s="5"/>
    </row>
    <row r="34" spans="1:13" x14ac:dyDescent="0.25">
      <c r="A34" t="s">
        <v>92</v>
      </c>
      <c r="B34" t="s">
        <v>50</v>
      </c>
      <c r="C34" s="9" t="s">
        <v>49</v>
      </c>
      <c r="D34" t="str">
        <f t="shared" si="0"/>
        <v>Mihael Khan</v>
      </c>
      <c r="E34" t="str">
        <f t="shared" si="1"/>
        <v>mihael.khan@pushpin.com</v>
      </c>
      <c r="F34" s="1">
        <v>40162</v>
      </c>
      <c r="G34" s="3"/>
      <c r="H34" s="1">
        <v>42563</v>
      </c>
      <c r="I34" s="1"/>
      <c r="J34" s="2" t="s">
        <v>72</v>
      </c>
      <c r="K34" s="2" t="s">
        <v>150</v>
      </c>
      <c r="L34" s="1"/>
      <c r="M34" s="5"/>
    </row>
    <row r="35" spans="1:13" x14ac:dyDescent="0.25">
      <c r="A35" t="s">
        <v>113</v>
      </c>
      <c r="B35" t="s">
        <v>78</v>
      </c>
      <c r="C35" s="9" t="s">
        <v>77</v>
      </c>
      <c r="D35" t="str">
        <f t="shared" si="0"/>
        <v>Sean Sanders</v>
      </c>
      <c r="E35" t="str">
        <f t="shared" si="1"/>
        <v>sean.sanders@pushpin.com</v>
      </c>
      <c r="F35" s="1">
        <v>42892</v>
      </c>
      <c r="G35" s="3"/>
      <c r="H35" s="1">
        <v>42731</v>
      </c>
      <c r="I35" s="1"/>
      <c r="J35" s="2" t="s">
        <v>23</v>
      </c>
      <c r="K35" s="2" t="s">
        <v>136</v>
      </c>
      <c r="L35" s="1"/>
      <c r="M35" s="5"/>
    </row>
    <row r="36" spans="1:13" x14ac:dyDescent="0.25">
      <c r="A36" t="s">
        <v>110</v>
      </c>
      <c r="B36" t="s">
        <v>70</v>
      </c>
      <c r="C36" s="9" t="s">
        <v>69</v>
      </c>
      <c r="D36" t="str">
        <f t="shared" si="0"/>
        <v>Radhya Staples</v>
      </c>
      <c r="E36" t="str">
        <f t="shared" si="1"/>
        <v>radhya.staples@pushpin.com</v>
      </c>
      <c r="F36" s="1">
        <v>42325</v>
      </c>
      <c r="G36" s="3"/>
      <c r="H36" s="1">
        <v>42590</v>
      </c>
      <c r="I36" s="1"/>
      <c r="J36" s="2" t="s">
        <v>72</v>
      </c>
      <c r="K36" s="2" t="s">
        <v>151</v>
      </c>
      <c r="L36" s="1"/>
      <c r="M36" s="5"/>
    </row>
    <row r="37" spans="1:13" x14ac:dyDescent="0.25">
      <c r="A37" t="s">
        <v>95</v>
      </c>
      <c r="B37" t="s">
        <v>56</v>
      </c>
      <c r="C37" s="9" t="s">
        <v>55</v>
      </c>
      <c r="D37" t="str">
        <f t="shared" si="0"/>
        <v>Natasha Song</v>
      </c>
      <c r="E37" t="str">
        <f t="shared" si="1"/>
        <v>natasha.song@pushpin.com</v>
      </c>
      <c r="F37" s="1">
        <v>40714</v>
      </c>
      <c r="G37" s="3"/>
      <c r="H37" s="1">
        <v>42507</v>
      </c>
      <c r="I37" s="1"/>
      <c r="J37" s="2" t="s">
        <v>72</v>
      </c>
      <c r="K37" s="2" t="s">
        <v>156</v>
      </c>
      <c r="L37" s="1"/>
      <c r="M37" s="5"/>
    </row>
    <row r="38" spans="1:13" x14ac:dyDescent="0.25">
      <c r="A38" t="s">
        <v>109</v>
      </c>
      <c r="B38" t="s">
        <v>71</v>
      </c>
      <c r="C38" s="9" t="s">
        <v>159</v>
      </c>
      <c r="D38" t="str">
        <f t="shared" si="0"/>
        <v>Preston Senome</v>
      </c>
      <c r="E38" t="str">
        <f t="shared" si="1"/>
        <v>preston.senome@pushpin.com</v>
      </c>
      <c r="F38" s="1">
        <v>42326</v>
      </c>
      <c r="G38" s="3"/>
      <c r="H38" s="1">
        <v>42801</v>
      </c>
      <c r="I38" s="1"/>
      <c r="J38" s="2" t="s">
        <v>72</v>
      </c>
      <c r="K38" s="2" t="s">
        <v>152</v>
      </c>
      <c r="L38" s="1"/>
      <c r="M38" s="5"/>
    </row>
    <row r="39" spans="1:13" x14ac:dyDescent="0.25">
      <c r="A39" t="s">
        <v>115</v>
      </c>
      <c r="B39" t="s">
        <v>75</v>
      </c>
      <c r="C39" s="9" t="s">
        <v>74</v>
      </c>
      <c r="D39" t="str">
        <f t="shared" si="0"/>
        <v>Mei Wang</v>
      </c>
      <c r="E39" t="str">
        <f t="shared" si="1"/>
        <v>mei.wang@pushpin.com</v>
      </c>
      <c r="F39" s="1">
        <v>40189</v>
      </c>
      <c r="G39" s="3"/>
      <c r="H39" s="1">
        <v>42839</v>
      </c>
      <c r="I39" s="1"/>
      <c r="J39" s="2" t="s">
        <v>34</v>
      </c>
      <c r="K39" s="2" t="s">
        <v>137</v>
      </c>
      <c r="L39" s="1"/>
      <c r="M39" s="5"/>
    </row>
    <row r="40" spans="1:13" x14ac:dyDescent="0.25">
      <c r="A40" t="s">
        <v>105</v>
      </c>
      <c r="B40" t="s">
        <v>58</v>
      </c>
      <c r="C40" s="9" t="s">
        <v>57</v>
      </c>
      <c r="D40" t="str">
        <f t="shared" si="0"/>
        <v>Aanya Zhang</v>
      </c>
      <c r="E40" t="str">
        <f t="shared" si="1"/>
        <v>aanya.zhang@pushpin.com</v>
      </c>
      <c r="F40" s="1">
        <v>42009</v>
      </c>
      <c r="G40" s="3"/>
      <c r="H40" s="1">
        <v>42652</v>
      </c>
      <c r="I40" s="1"/>
      <c r="J40" s="2" t="s">
        <v>72</v>
      </c>
      <c r="K40" s="2" t="s">
        <v>153</v>
      </c>
      <c r="L40" s="1"/>
      <c r="M40" s="5"/>
    </row>
  </sheetData>
  <sortState xmlns:xlrd2="http://schemas.microsoft.com/office/spreadsheetml/2017/richdata2" ref="A6:M40">
    <sortCondition ref="B8"/>
  </sortState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2026-09-30T21:53:41Z</dcterms:modified>
</cp:coreProperties>
</file>