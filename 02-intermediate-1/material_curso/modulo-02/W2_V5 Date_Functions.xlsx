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ge\Proyectos\ExcelLearning\02-intermediate-1\material_curso\modulo-02\"/>
    </mc:Choice>
  </mc:AlternateContent>
  <xr:revisionPtr revIDLastSave="0" documentId="13_ncr:1_{406389E1-235F-406B-9436-5BD0A9DDE1E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Sheet1!$A$6:$N$26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46" i="1" l="1"/>
  <c r="M46" i="1"/>
  <c r="J45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6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M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6" i="1"/>
  <c r="R1" i="1"/>
  <c r="R2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6" i="1"/>
  <c r="P7" i="1"/>
  <c r="Q7" i="1"/>
  <c r="P8" i="1"/>
  <c r="Q8" i="1"/>
  <c r="P9" i="1"/>
  <c r="Q9" i="1"/>
  <c r="P10" i="1"/>
  <c r="Q10" i="1"/>
  <c r="P11" i="1"/>
  <c r="Q11" i="1"/>
  <c r="P12" i="1"/>
  <c r="Q12" i="1"/>
  <c r="P13" i="1"/>
  <c r="Q13" i="1"/>
  <c r="P14" i="1"/>
  <c r="Q14" i="1"/>
  <c r="P15" i="1"/>
  <c r="Q15" i="1"/>
  <c r="P16" i="1"/>
  <c r="Q16" i="1"/>
  <c r="P17" i="1"/>
  <c r="Q17" i="1"/>
  <c r="P18" i="1"/>
  <c r="Q18" i="1"/>
  <c r="P19" i="1"/>
  <c r="Q19" i="1"/>
  <c r="P20" i="1"/>
  <c r="Q20" i="1"/>
  <c r="P21" i="1"/>
  <c r="Q21" i="1"/>
  <c r="P22" i="1"/>
  <c r="Q22" i="1"/>
  <c r="P23" i="1"/>
  <c r="Q23" i="1"/>
  <c r="P24" i="1"/>
  <c r="Q24" i="1"/>
  <c r="P25" i="1"/>
  <c r="Q25" i="1"/>
  <c r="P26" i="1"/>
  <c r="Q26" i="1"/>
  <c r="P27" i="1"/>
  <c r="Q27" i="1"/>
  <c r="P28" i="1"/>
  <c r="Q28" i="1"/>
  <c r="P29" i="1"/>
  <c r="Q29" i="1"/>
  <c r="P30" i="1"/>
  <c r="Q30" i="1"/>
  <c r="P31" i="1"/>
  <c r="Q31" i="1"/>
  <c r="P32" i="1"/>
  <c r="Q32" i="1"/>
  <c r="P33" i="1"/>
  <c r="Q33" i="1"/>
  <c r="P34" i="1"/>
  <c r="Q34" i="1"/>
  <c r="P35" i="1"/>
  <c r="Q35" i="1"/>
  <c r="P36" i="1"/>
  <c r="Q36" i="1"/>
  <c r="P37" i="1"/>
  <c r="Q37" i="1"/>
  <c r="P38" i="1"/>
  <c r="Q38" i="1"/>
  <c r="P39" i="1"/>
  <c r="Q39" i="1"/>
  <c r="P40" i="1"/>
  <c r="Q40" i="1"/>
  <c r="Q6" i="1"/>
  <c r="P6" i="1"/>
  <c r="E7" i="1" l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6" i="1"/>
</calcChain>
</file>

<file path=xl/sharedStrings.xml><?xml version="1.0" encoding="utf-8"?>
<sst xmlns="http://schemas.openxmlformats.org/spreadsheetml/2006/main" count="198" uniqueCount="167">
  <si>
    <t>Emp ID</t>
  </si>
  <si>
    <t>Last</t>
  </si>
  <si>
    <t>First</t>
  </si>
  <si>
    <t>Full Name</t>
  </si>
  <si>
    <t>Email</t>
  </si>
  <si>
    <t>Date of Hire</t>
  </si>
  <si>
    <t>Department</t>
  </si>
  <si>
    <t>Location</t>
  </si>
  <si>
    <t>Extension</t>
  </si>
  <si>
    <t>E1001</t>
  </si>
  <si>
    <t>DECKER</t>
  </si>
  <si>
    <t>BARRY</t>
  </si>
  <si>
    <t>E1003</t>
  </si>
  <si>
    <t>COLE</t>
  </si>
  <si>
    <t>Daniel</t>
  </si>
  <si>
    <t>E1004</t>
  </si>
  <si>
    <t>CHAFFEE</t>
  </si>
  <si>
    <t>Adam</t>
  </si>
  <si>
    <t>Facilities</t>
  </si>
  <si>
    <t>DONNELL</t>
  </si>
  <si>
    <t>Susan</t>
  </si>
  <si>
    <t>Accounting</t>
  </si>
  <si>
    <t>Elizabeth</t>
  </si>
  <si>
    <t>Human Resources</t>
  </si>
  <si>
    <t>ELLIS</t>
  </si>
  <si>
    <t>Janet</t>
  </si>
  <si>
    <t>CHUNG</t>
  </si>
  <si>
    <t>Bob</t>
  </si>
  <si>
    <t>FLANDERS</t>
  </si>
  <si>
    <t>Sabrina</t>
  </si>
  <si>
    <t>CLARK</t>
  </si>
  <si>
    <t>BOLLER</t>
  </si>
  <si>
    <t>Mary</t>
  </si>
  <si>
    <t>CAROL</t>
  </si>
  <si>
    <t>Executive</t>
  </si>
  <si>
    <t>Joe</t>
  </si>
  <si>
    <t>Customer Service</t>
  </si>
  <si>
    <t>COMUNTZIS</t>
  </si>
  <si>
    <t>Mark</t>
  </si>
  <si>
    <t>FILOSA</t>
  </si>
  <si>
    <t>Alexandra</t>
  </si>
  <si>
    <t>FERRIS</t>
  </si>
  <si>
    <t>Jim</t>
  </si>
  <si>
    <t>CHU</t>
  </si>
  <si>
    <t>DESIATO</t>
  </si>
  <si>
    <t>Tina</t>
  </si>
  <si>
    <t>Carlton</t>
  </si>
  <si>
    <t>Samantha</t>
  </si>
  <si>
    <t>Chairs</t>
  </si>
  <si>
    <t>Mihael</t>
  </si>
  <si>
    <t>Khan</t>
  </si>
  <si>
    <t>Phoebe</t>
  </si>
  <si>
    <t>Gour</t>
  </si>
  <si>
    <t>Leighton</t>
  </si>
  <si>
    <t>Forrest</t>
  </si>
  <si>
    <t>Natasha</t>
  </si>
  <si>
    <t>Song</t>
  </si>
  <si>
    <t>Aanya</t>
  </si>
  <si>
    <t>Zhang</t>
  </si>
  <si>
    <t>Connor</t>
  </si>
  <si>
    <t>Betts</t>
  </si>
  <si>
    <t>Yvette</t>
  </si>
  <si>
    <t>Biti</t>
  </si>
  <si>
    <t>Charlie</t>
  </si>
  <si>
    <t>Bui</t>
  </si>
  <si>
    <t>Stevie</t>
  </si>
  <si>
    <t>Bacata</t>
  </si>
  <si>
    <t>Nicholas</t>
  </si>
  <si>
    <t>Fernandes</t>
  </si>
  <si>
    <t>Radhya</t>
  </si>
  <si>
    <t>Staples</t>
  </si>
  <si>
    <t>Senome</t>
  </si>
  <si>
    <t>Sales</t>
  </si>
  <si>
    <t>Eric</t>
  </si>
  <si>
    <t>Mei</t>
  </si>
  <si>
    <t>WANG</t>
  </si>
  <si>
    <t>ANNA</t>
  </si>
  <si>
    <t>Sean</t>
  </si>
  <si>
    <t>SANDERS</t>
  </si>
  <si>
    <t>elizabeth</t>
  </si>
  <si>
    <t>IT</t>
  </si>
  <si>
    <t>Floor</t>
  </si>
  <si>
    <t>Uma</t>
  </si>
  <si>
    <t>CHAUDRI</t>
  </si>
  <si>
    <t>Years Service</t>
  </si>
  <si>
    <t>E1110</t>
  </si>
  <si>
    <t>E1134</t>
  </si>
  <si>
    <t>E1150</t>
  </si>
  <si>
    <t>E1162</t>
  </si>
  <si>
    <t>E1172</t>
  </si>
  <si>
    <t>E1180</t>
  </si>
  <si>
    <t>E1186</t>
  </si>
  <si>
    <t>E1192</t>
  </si>
  <si>
    <t>E1198</t>
  </si>
  <si>
    <t>E1203</t>
  </si>
  <si>
    <t>E1207</t>
  </si>
  <si>
    <t>E1211</t>
  </si>
  <si>
    <t>E1215</t>
  </si>
  <si>
    <t>E1218</t>
  </si>
  <si>
    <t>E1221</t>
  </si>
  <si>
    <t>E1224</t>
  </si>
  <si>
    <t>E1227</t>
  </si>
  <si>
    <t>E1230</t>
  </si>
  <si>
    <t>E1232</t>
  </si>
  <si>
    <t>E1235</t>
  </si>
  <si>
    <t>E1237</t>
  </si>
  <si>
    <t>E1239</t>
  </si>
  <si>
    <t>E1241</t>
  </si>
  <si>
    <t>E1243</t>
  </si>
  <si>
    <t>E1244</t>
  </si>
  <si>
    <t>E1245</t>
  </si>
  <si>
    <t>E1246</t>
  </si>
  <si>
    <t>E1248</t>
  </si>
  <si>
    <t>E1249</t>
  </si>
  <si>
    <t>E1250</t>
  </si>
  <si>
    <t>E1252</t>
  </si>
  <si>
    <t>E1253</t>
  </si>
  <si>
    <t>Pushpin HR Database</t>
  </si>
  <si>
    <t>Date:</t>
  </si>
  <si>
    <t>02-West 2635</t>
  </si>
  <si>
    <t>02-West 2018</t>
  </si>
  <si>
    <t>02-West 2347</t>
  </si>
  <si>
    <t>03-West 2764</t>
  </si>
  <si>
    <t>02-West 2589</t>
  </si>
  <si>
    <t>02-West 2699</t>
  </si>
  <si>
    <t>03-West 2432</t>
  </si>
  <si>
    <t>02-West 2962</t>
  </si>
  <si>
    <t>01-West 2425</t>
  </si>
  <si>
    <t>03-West 2796</t>
  </si>
  <si>
    <t>03-West 2601</t>
  </si>
  <si>
    <t>02-West 2414</t>
  </si>
  <si>
    <t>02-West 2537</t>
  </si>
  <si>
    <t>02-West 2286</t>
  </si>
  <si>
    <t>03-West 2082</t>
  </si>
  <si>
    <t>03-West 2482</t>
  </si>
  <si>
    <t>02-West 2279</t>
  </si>
  <si>
    <t>03-West 2765</t>
  </si>
  <si>
    <t>01-West 2783</t>
  </si>
  <si>
    <t>Wing</t>
  </si>
  <si>
    <t>03-North 2318</t>
  </si>
  <si>
    <t>02-North 2694</t>
  </si>
  <si>
    <t>01-North 2321</t>
  </si>
  <si>
    <t>03-North 2134</t>
  </si>
  <si>
    <t>01-North 2086</t>
  </si>
  <si>
    <t>01-North 2358</t>
  </si>
  <si>
    <t>02-North 2372</t>
  </si>
  <si>
    <t>03-North 2392</t>
  </si>
  <si>
    <t>02-North 2639</t>
  </si>
  <si>
    <t>02-North 2284</t>
  </si>
  <si>
    <t>02-North 2910</t>
  </si>
  <si>
    <t>02-North 2294</t>
  </si>
  <si>
    <t>02-North 2260</t>
  </si>
  <si>
    <t>02-North 2654</t>
  </si>
  <si>
    <t>02-North 2793</t>
  </si>
  <si>
    <t>Last Review</t>
  </si>
  <si>
    <t>Next Review</t>
  </si>
  <si>
    <t>02-West 2578</t>
  </si>
  <si>
    <t>martinez</t>
  </si>
  <si>
    <t>carlos</t>
  </si>
  <si>
    <t>Preston</t>
  </si>
  <si>
    <t>today</t>
  </si>
  <si>
    <t>now</t>
  </si>
  <si>
    <t>yearfracc</t>
  </si>
  <si>
    <t>Cantas hora de servicio?</t>
  </si>
  <si>
    <t>Year</t>
  </si>
  <si>
    <t>month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</si>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</sst>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D0F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</cellStyleXfs>
  <cellXfs count="19">
    <xf numFmtId="0" fontId="0" fillId="0" borderId="0" xfId="0"/>
    <xf numFmtId="14" fontId="0" fillId="0" borderId="0" xfId="0" applyNumberFormat="1"/>
    <xf numFmtId="0" fontId="4" fillId="0" borderId="0" xfId="0" applyFont="1" applyFill="1" applyBorder="1" applyAlignment="1">
      <alignment horizontal="left" wrapText="1"/>
    </xf>
    <xf numFmtId="164" fontId="0" fillId="0" borderId="0" xfId="0" applyNumberFormat="1"/>
    <xf numFmtId="0" fontId="2" fillId="0" borderId="0" xfId="1"/>
    <xf numFmtId="0" fontId="0" fillId="0" borderId="0" xfId="0" applyNumberFormat="1"/>
    <xf numFmtId="0" fontId="5" fillId="2" borderId="0" xfId="2" applyFont="1" applyBorder="1" applyAlignment="1">
      <alignment horizontal="left" wrapText="1"/>
    </xf>
    <xf numFmtId="0" fontId="3" fillId="2" borderId="0" xfId="2"/>
    <xf numFmtId="22" fontId="1" fillId="3" borderId="0" xfId="3" applyNumberFormat="1"/>
    <xf numFmtId="0" fontId="6" fillId="0" borderId="0" xfId="0" applyFont="1" applyAlignment="1">
      <alignment wrapText="1"/>
    </xf>
    <xf numFmtId="22" fontId="0" fillId="0" borderId="0" xfId="0" applyNumberFormat="1"/>
    <xf numFmtId="0" fontId="0" fillId="4" borderId="0" xfId="0" applyFill="1"/>
    <xf numFmtId="0" fontId="6" fillId="4" borderId="0" xfId="0" applyFont="1" applyFill="1" applyAlignment="1">
      <alignment wrapText="1"/>
    </xf>
    <xf numFmtId="14" fontId="0" fillId="4" borderId="0" xfId="0" applyNumberFormat="1" applyFill="1"/>
    <xf numFmtId="164" fontId="0" fillId="4" borderId="0" xfId="0" applyNumberFormat="1" applyFill="1"/>
    <xf numFmtId="0" fontId="4" fillId="4" borderId="0" xfId="0" applyFont="1" applyFill="1" applyBorder="1" applyAlignment="1">
      <alignment horizontal="left" wrapText="1"/>
    </xf>
    <xf numFmtId="0" fontId="0" fillId="4" borderId="0" xfId="0" applyNumberFormat="1" applyFill="1"/>
    <xf numFmtId="0" fontId="5" fillId="2" borderId="0" xfId="2" applyNumberFormat="1" applyFont="1" applyBorder="1" applyAlignment="1">
      <alignment horizontal="left" wrapText="1"/>
    </xf>
    <xf numFmtId="14" fontId="7" fillId="0" borderId="0" xfId="0" applyNumberFormat="1" applyFont="1"/>
  </cellXfs>
  <cellStyles count="4">
    <cellStyle name="20% - Accent1" xfId="3" builtinId="30"/>
    <cellStyle name="Accent1" xfId="2" builtinId="29"/>
    <cellStyle name="Normal" xfId="0" builtinId="0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232833</xdr:colOff>
      <xdr:row>1</xdr:row>
      <xdr:rowOff>52917</xdr:rowOff>
    </xdr:from>
    <xdr:to>
      <xdr:col>15</xdr:col>
      <xdr:colOff>52917</xdr:colOff>
      <xdr:row>3</xdr:row>
      <xdr:rowOff>116417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958B4474-9C17-41AE-BA57-BE8E1D1D339D}"/>
            </a:ext>
          </a:extLst>
        </xdr:cNvPr>
        <xdr:cNvSpPr/>
      </xdr:nvSpPr>
      <xdr:spPr>
        <a:xfrm>
          <a:off x="8636000" y="349250"/>
          <a:ext cx="3905250" cy="444500"/>
        </a:xfrm>
        <a:prstGeom prst="round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419" sz="1800"/>
            <a:t>=today()       =now()   =yearfracc()</a:t>
          </a:r>
        </a:p>
        <a:p>
          <a:pPr algn="l"/>
          <a:endParaRPr lang="es-419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6"/>
  <sheetViews>
    <sheetView tabSelected="1" topLeftCell="A28" zoomScale="90" zoomScaleNormal="90" workbookViewId="0">
      <selection activeCell="N47" sqref="N47"/>
    </sheetView>
  </sheetViews>
  <sheetFormatPr defaultRowHeight="15" x14ac:dyDescent="0.25"/>
  <cols>
    <col min="1" max="1" width="10.28515625" customWidth="1"/>
    <col min="2" max="3" width="13" customWidth="1"/>
    <col min="4" max="4" width="18.85546875" customWidth="1"/>
    <col min="5" max="5" width="30.140625" customWidth="1"/>
    <col min="6" max="6" width="14" customWidth="1"/>
    <col min="7" max="8" width="13.28515625" customWidth="1"/>
    <col min="9" max="10" width="13.7109375" customWidth="1"/>
    <col min="11" max="12" width="13.7109375" style="5" customWidth="1"/>
    <col min="13" max="13" width="13.7109375" customWidth="1"/>
    <col min="14" max="14" width="17.7109375" customWidth="1"/>
    <col min="15" max="15" width="16.140625" customWidth="1"/>
    <col min="16" max="16" width="10.42578125" customWidth="1"/>
    <col min="17" max="17" width="12.7109375" customWidth="1"/>
    <col min="18" max="18" width="20.140625" customWidth="1"/>
    <col min="19" max="19" width="11.28515625" bestFit="1" customWidth="1"/>
  </cols>
  <sheetData>
    <row r="1" spans="1:19" ht="23.25" x14ac:dyDescent="0.35">
      <c r="A1" s="4" t="s">
        <v>117</v>
      </c>
      <c r="Q1" s="7" t="s">
        <v>118</v>
      </c>
      <c r="R1" s="8">
        <f ca="1">TODAY()</f>
        <v>46295</v>
      </c>
      <c r="S1" t="s">
        <v>160</v>
      </c>
    </row>
    <row r="2" spans="1:19" x14ac:dyDescent="0.25">
      <c r="R2" s="10">
        <f ca="1">NOW()</f>
        <v>46295.7847056713</v>
      </c>
      <c r="S2" t="s">
        <v>161</v>
      </c>
    </row>
    <row r="3" spans="1:19" x14ac:dyDescent="0.25">
      <c r="G3" t="s">
        <v>163</v>
      </c>
    </row>
    <row r="4" spans="1:19" x14ac:dyDescent="0.25">
      <c r="G4" t="s">
        <v>162</v>
      </c>
    </row>
    <row r="5" spans="1:19" ht="31.5" x14ac:dyDescent="0.25">
      <c r="A5" s="6" t="s">
        <v>0</v>
      </c>
      <c r="B5" s="6" t="s">
        <v>1</v>
      </c>
      <c r="C5" s="6" t="s">
        <v>2</v>
      </c>
      <c r="D5" s="6" t="s">
        <v>3</v>
      </c>
      <c r="E5" s="6" t="s">
        <v>4</v>
      </c>
      <c r="F5" s="6" t="s">
        <v>5</v>
      </c>
      <c r="G5" s="6" t="s">
        <v>84</v>
      </c>
      <c r="H5" s="6"/>
      <c r="I5" s="6" t="s">
        <v>154</v>
      </c>
      <c r="J5" s="6" t="s">
        <v>164</v>
      </c>
      <c r="K5" s="17" t="s">
        <v>165</v>
      </c>
      <c r="L5" s="17" t="s">
        <v>166</v>
      </c>
      <c r="M5" s="6" t="s">
        <v>155</v>
      </c>
      <c r="N5" s="6" t="s">
        <v>6</v>
      </c>
      <c r="O5" s="6" t="s">
        <v>7</v>
      </c>
      <c r="P5" s="6" t="s">
        <v>81</v>
      </c>
      <c r="Q5" s="6" t="s">
        <v>8</v>
      </c>
      <c r="R5" s="6" t="s">
        <v>138</v>
      </c>
    </row>
    <row r="6" spans="1:19" x14ac:dyDescent="0.25">
      <c r="A6" t="s">
        <v>90</v>
      </c>
      <c r="B6" t="s">
        <v>66</v>
      </c>
      <c r="C6" s="9" t="s">
        <v>65</v>
      </c>
      <c r="D6" t="str">
        <f>PROPER(_xlfn.CONCAT(C6," ",B6))</f>
        <v>Stevie Bacata</v>
      </c>
      <c r="E6" t="str">
        <f>LOWER(C6&amp;"."&amp;B6&amp;"@pushpin.com")</f>
        <v>stevie.bacata@pushpin.com</v>
      </c>
      <c r="F6" s="1">
        <v>39556</v>
      </c>
      <c r="G6" s="3">
        <f ca="1">YEARFRAC(F6,TODAY())</f>
        <v>18.45</v>
      </c>
      <c r="H6" s="3">
        <f ca="1">(TODAY()-F6)/365</f>
        <v>18.463013698630139</v>
      </c>
      <c r="I6" s="1">
        <v>42552</v>
      </c>
      <c r="J6" s="5">
        <f>YEAR(I6)</f>
        <v>2016</v>
      </c>
      <c r="K6" s="5">
        <f>MONTH(I6)</f>
        <v>7</v>
      </c>
      <c r="L6" s="5">
        <f>DAY(I6)</f>
        <v>1</v>
      </c>
      <c r="M6" s="1">
        <f>I6+365</f>
        <v>42917</v>
      </c>
      <c r="N6" s="2" t="s">
        <v>72</v>
      </c>
      <c r="O6" s="2" t="s">
        <v>119</v>
      </c>
      <c r="P6" s="1" t="str">
        <f>LEFT(O6,2)</f>
        <v>02</v>
      </c>
      <c r="Q6" s="5" t="str">
        <f>RIGHT(O6,4)</f>
        <v>2635</v>
      </c>
      <c r="R6" t="str">
        <f>MID(O6,4,FIND(" ",O6)-4)</f>
        <v>West</v>
      </c>
      <c r="S6">
        <f>FIND(" ",O6)-4</f>
        <v>4</v>
      </c>
    </row>
    <row r="7" spans="1:19" x14ac:dyDescent="0.25">
      <c r="A7" t="s">
        <v>85</v>
      </c>
      <c r="B7" t="s">
        <v>11</v>
      </c>
      <c r="C7" s="9" t="s">
        <v>17</v>
      </c>
      <c r="D7" t="str">
        <f t="shared" ref="D7:D40" si="0">PROPER(_xlfn.CONCAT(C7," ",B7))</f>
        <v>Adam Barry</v>
      </c>
      <c r="E7" t="str">
        <f t="shared" ref="E7:E40" si="1">LOWER(C7&amp;"."&amp;B7&amp;"@pushpin.com")</f>
        <v>adam.barry@pushpin.com</v>
      </c>
      <c r="F7" s="1">
        <v>38104</v>
      </c>
      <c r="G7" s="3">
        <f t="shared" ref="G7:G40" ca="1" si="2">YEARFRAC(F7,TODAY())</f>
        <v>22.425000000000001</v>
      </c>
      <c r="H7" s="3">
        <f t="shared" ref="H7:H40" ca="1" si="3">(TODAY()-F7)/365</f>
        <v>22.44109589041096</v>
      </c>
      <c r="I7" s="1">
        <v>42825</v>
      </c>
      <c r="J7" s="5">
        <f t="shared" ref="J7:J40" si="4">YEAR(I7)</f>
        <v>2017</v>
      </c>
      <c r="K7" s="5">
        <f t="shared" ref="K7:K40" si="5">MONTH(I7)</f>
        <v>3</v>
      </c>
      <c r="L7" s="5">
        <f t="shared" ref="L7:L40" si="6">DAY(I7)</f>
        <v>31</v>
      </c>
      <c r="M7" s="1"/>
      <c r="N7" s="2" t="s">
        <v>36</v>
      </c>
      <c r="O7" s="2" t="s">
        <v>120</v>
      </c>
      <c r="P7" s="1" t="str">
        <f t="shared" ref="P7:P40" si="7">LEFT(O7,2)</f>
        <v>02</v>
      </c>
      <c r="Q7" s="5" t="str">
        <f t="shared" ref="Q7:Q40" si="8">RIGHT(O7,4)</f>
        <v>2018</v>
      </c>
      <c r="R7" t="str">
        <f t="shared" ref="R7:R40" si="9">MID(O7,4,FIND(" ",O7)-4)</f>
        <v>West</v>
      </c>
      <c r="S7">
        <f t="shared" ref="S7:S40" si="10">FIND(" ",O7)-4</f>
        <v>4</v>
      </c>
    </row>
    <row r="8" spans="1:19" x14ac:dyDescent="0.25">
      <c r="A8" t="s">
        <v>103</v>
      </c>
      <c r="B8" t="s">
        <v>60</v>
      </c>
      <c r="C8" s="9" t="s">
        <v>59</v>
      </c>
      <c r="D8" t="str">
        <f t="shared" si="0"/>
        <v>Connor Betts</v>
      </c>
      <c r="E8" t="str">
        <f t="shared" si="1"/>
        <v>connor.betts@pushpin.com</v>
      </c>
      <c r="F8" s="1">
        <v>41961</v>
      </c>
      <c r="G8" s="3">
        <f t="shared" ca="1" si="2"/>
        <v>11.866666666666667</v>
      </c>
      <c r="H8" s="3">
        <f t="shared" ca="1" si="3"/>
        <v>11.873972602739727</v>
      </c>
      <c r="I8" s="1">
        <v>42656</v>
      </c>
      <c r="J8" s="5">
        <f t="shared" si="4"/>
        <v>2016</v>
      </c>
      <c r="K8" s="5">
        <f t="shared" si="5"/>
        <v>10</v>
      </c>
      <c r="L8" s="5">
        <f t="shared" si="6"/>
        <v>13</v>
      </c>
      <c r="M8" s="1"/>
      <c r="N8" s="2" t="s">
        <v>72</v>
      </c>
      <c r="O8" s="2" t="s">
        <v>121</v>
      </c>
      <c r="P8" s="1" t="str">
        <f t="shared" si="7"/>
        <v>02</v>
      </c>
      <c r="Q8" s="5" t="str">
        <f t="shared" si="8"/>
        <v>2347</v>
      </c>
      <c r="R8" t="str">
        <f t="shared" si="9"/>
        <v>West</v>
      </c>
      <c r="S8">
        <f t="shared" si="10"/>
        <v>4</v>
      </c>
    </row>
    <row r="9" spans="1:19" x14ac:dyDescent="0.25">
      <c r="A9" s="11" t="s">
        <v>108</v>
      </c>
      <c r="B9" s="11" t="s">
        <v>157</v>
      </c>
      <c r="C9" s="12" t="s">
        <v>158</v>
      </c>
      <c r="D9" s="11" t="str">
        <f t="shared" si="0"/>
        <v>Carlos Martinez</v>
      </c>
      <c r="E9" s="11" t="str">
        <f t="shared" si="1"/>
        <v>carlos.martinez@pushpin.com</v>
      </c>
      <c r="F9" s="13">
        <v>35213</v>
      </c>
      <c r="G9" s="14">
        <f t="shared" ca="1" si="2"/>
        <v>30.338888888888889</v>
      </c>
      <c r="H9" s="3">
        <f t="shared" ca="1" si="3"/>
        <v>30.361643835616437</v>
      </c>
      <c r="I9" s="13">
        <v>42804</v>
      </c>
      <c r="J9" s="5">
        <f t="shared" si="4"/>
        <v>2017</v>
      </c>
      <c r="K9" s="5">
        <f t="shared" si="5"/>
        <v>3</v>
      </c>
      <c r="L9" s="5">
        <f t="shared" si="6"/>
        <v>10</v>
      </c>
      <c r="M9" s="13"/>
      <c r="N9" s="15" t="s">
        <v>23</v>
      </c>
      <c r="O9" s="15" t="s">
        <v>122</v>
      </c>
      <c r="P9" s="13" t="str">
        <f t="shared" si="7"/>
        <v>03</v>
      </c>
      <c r="Q9" s="16" t="str">
        <f t="shared" si="8"/>
        <v>2764</v>
      </c>
      <c r="R9" s="11" t="str">
        <f t="shared" si="9"/>
        <v>West</v>
      </c>
      <c r="S9" s="11">
        <f t="shared" si="10"/>
        <v>4</v>
      </c>
    </row>
    <row r="10" spans="1:19" x14ac:dyDescent="0.25">
      <c r="A10" t="s">
        <v>112</v>
      </c>
      <c r="B10" t="s">
        <v>62</v>
      </c>
      <c r="C10" s="9" t="s">
        <v>61</v>
      </c>
      <c r="D10" t="str">
        <f t="shared" si="0"/>
        <v>Yvette Biti</v>
      </c>
      <c r="E10" t="str">
        <f t="shared" si="1"/>
        <v>yvette.biti@pushpin.com</v>
      </c>
      <c r="F10" s="1">
        <v>42389</v>
      </c>
      <c r="G10" s="3">
        <f t="shared" ca="1" si="2"/>
        <v>10.694444444444445</v>
      </c>
      <c r="H10" s="3">
        <f t="shared" ca="1" si="3"/>
        <v>10.701369863013699</v>
      </c>
      <c r="I10" s="1">
        <v>42566</v>
      </c>
      <c r="J10" s="5">
        <f t="shared" si="4"/>
        <v>2016</v>
      </c>
      <c r="K10" s="5">
        <f t="shared" si="5"/>
        <v>7</v>
      </c>
      <c r="L10" s="5">
        <f t="shared" si="6"/>
        <v>15</v>
      </c>
      <c r="M10" s="1"/>
      <c r="N10" s="2" t="s">
        <v>72</v>
      </c>
      <c r="O10" s="2" t="s">
        <v>123</v>
      </c>
      <c r="P10" s="1" t="str">
        <f t="shared" si="7"/>
        <v>02</v>
      </c>
      <c r="Q10" s="5" t="str">
        <f t="shared" si="8"/>
        <v>2589</v>
      </c>
      <c r="R10" t="str">
        <f t="shared" si="9"/>
        <v>West</v>
      </c>
      <c r="S10">
        <f t="shared" si="10"/>
        <v>4</v>
      </c>
    </row>
    <row r="11" spans="1:19" x14ac:dyDescent="0.25">
      <c r="A11" t="s">
        <v>101</v>
      </c>
      <c r="B11" t="s">
        <v>31</v>
      </c>
      <c r="C11" s="9" t="s">
        <v>42</v>
      </c>
      <c r="D11" t="str">
        <f t="shared" si="0"/>
        <v>Jim Boller</v>
      </c>
      <c r="E11" t="str">
        <f t="shared" si="1"/>
        <v>jim.boller@pushpin.com</v>
      </c>
      <c r="F11" s="1">
        <v>41898</v>
      </c>
      <c r="G11" s="3">
        <f t="shared" ca="1" si="2"/>
        <v>12.03888888888889</v>
      </c>
      <c r="H11" s="3">
        <f t="shared" ca="1" si="3"/>
        <v>12.046575342465754</v>
      </c>
      <c r="I11" s="1">
        <v>42551</v>
      </c>
      <c r="J11" s="5">
        <f t="shared" si="4"/>
        <v>2016</v>
      </c>
      <c r="K11" s="5">
        <f t="shared" si="5"/>
        <v>6</v>
      </c>
      <c r="L11" s="5">
        <f t="shared" si="6"/>
        <v>30</v>
      </c>
      <c r="M11" s="1"/>
      <c r="N11" s="2" t="s">
        <v>21</v>
      </c>
      <c r="O11" s="2" t="s">
        <v>139</v>
      </c>
      <c r="P11" s="1" t="str">
        <f t="shared" si="7"/>
        <v>03</v>
      </c>
      <c r="Q11" s="5" t="str">
        <f t="shared" si="8"/>
        <v>2318</v>
      </c>
      <c r="R11" t="str">
        <f t="shared" si="9"/>
        <v>North</v>
      </c>
      <c r="S11">
        <f t="shared" si="10"/>
        <v>5</v>
      </c>
    </row>
    <row r="12" spans="1:19" x14ac:dyDescent="0.25">
      <c r="A12" t="s">
        <v>102</v>
      </c>
      <c r="B12" t="s">
        <v>64</v>
      </c>
      <c r="C12" s="9" t="s">
        <v>63</v>
      </c>
      <c r="D12" t="str">
        <f t="shared" si="0"/>
        <v>Charlie Bui</v>
      </c>
      <c r="E12" t="str">
        <f t="shared" si="1"/>
        <v>charlie.bui@pushpin.com</v>
      </c>
      <c r="F12" s="1">
        <v>41908</v>
      </c>
      <c r="G12" s="3">
        <f t="shared" ca="1" si="2"/>
        <v>12.011111111111111</v>
      </c>
      <c r="H12" s="3">
        <f t="shared" ca="1" si="3"/>
        <v>12.019178082191781</v>
      </c>
      <c r="I12" s="1">
        <v>42619</v>
      </c>
      <c r="J12" s="5">
        <f t="shared" si="4"/>
        <v>2016</v>
      </c>
      <c r="K12" s="5">
        <f t="shared" si="5"/>
        <v>9</v>
      </c>
      <c r="L12" s="5">
        <f t="shared" si="6"/>
        <v>6</v>
      </c>
      <c r="M12" s="1"/>
      <c r="N12" s="2" t="s">
        <v>72</v>
      </c>
      <c r="O12" s="2" t="s">
        <v>140</v>
      </c>
      <c r="P12" s="1" t="str">
        <f t="shared" si="7"/>
        <v>02</v>
      </c>
      <c r="Q12" s="5" t="str">
        <f t="shared" si="8"/>
        <v>2694</v>
      </c>
      <c r="R12" t="str">
        <f t="shared" si="9"/>
        <v>North</v>
      </c>
      <c r="S12">
        <f t="shared" si="10"/>
        <v>5</v>
      </c>
    </row>
    <row r="13" spans="1:19" x14ac:dyDescent="0.25">
      <c r="A13" t="s">
        <v>88</v>
      </c>
      <c r="B13" t="s">
        <v>46</v>
      </c>
      <c r="C13" s="9" t="s">
        <v>45</v>
      </c>
      <c r="D13" t="str">
        <f t="shared" si="0"/>
        <v>Tina Carlton</v>
      </c>
      <c r="E13" t="str">
        <f t="shared" si="1"/>
        <v>tina.carlton@pushpin.com</v>
      </c>
      <c r="F13" s="1">
        <v>38803</v>
      </c>
      <c r="G13" s="3">
        <f t="shared" ca="1" si="2"/>
        <v>20.508333333333333</v>
      </c>
      <c r="H13" s="3">
        <f t="shared" ca="1" si="3"/>
        <v>20.526027397260275</v>
      </c>
      <c r="I13" s="1">
        <v>42761</v>
      </c>
      <c r="J13" s="5">
        <f t="shared" si="4"/>
        <v>2017</v>
      </c>
      <c r="K13" s="5">
        <f t="shared" si="5"/>
        <v>1</v>
      </c>
      <c r="L13" s="5">
        <f t="shared" si="6"/>
        <v>26</v>
      </c>
      <c r="M13" s="1"/>
      <c r="N13" s="2" t="s">
        <v>72</v>
      </c>
      <c r="O13" s="2" t="s">
        <v>124</v>
      </c>
      <c r="P13" s="1" t="str">
        <f t="shared" si="7"/>
        <v>02</v>
      </c>
      <c r="Q13" s="5" t="str">
        <f t="shared" si="8"/>
        <v>2699</v>
      </c>
      <c r="R13" t="str">
        <f t="shared" si="9"/>
        <v>West</v>
      </c>
      <c r="S13">
        <f t="shared" si="10"/>
        <v>4</v>
      </c>
    </row>
    <row r="14" spans="1:19" x14ac:dyDescent="0.25">
      <c r="A14" t="s">
        <v>9</v>
      </c>
      <c r="B14" t="s">
        <v>33</v>
      </c>
      <c r="C14" s="9" t="s">
        <v>35</v>
      </c>
      <c r="D14" t="str">
        <f t="shared" si="0"/>
        <v>Joe Carol</v>
      </c>
      <c r="E14" t="str">
        <f t="shared" si="1"/>
        <v>joe.carol@pushpin.com</v>
      </c>
      <c r="F14" s="1">
        <v>36928</v>
      </c>
      <c r="G14" s="3">
        <f t="shared" ca="1" si="2"/>
        <v>25.65</v>
      </c>
      <c r="H14" s="3">
        <f t="shared" ca="1" si="3"/>
        <v>25.663013698630138</v>
      </c>
      <c r="I14" s="1">
        <v>42596</v>
      </c>
      <c r="J14" s="5">
        <f t="shared" si="4"/>
        <v>2016</v>
      </c>
      <c r="K14" s="5">
        <f t="shared" si="5"/>
        <v>8</v>
      </c>
      <c r="L14" s="5">
        <f t="shared" si="6"/>
        <v>14</v>
      </c>
      <c r="M14" s="1"/>
      <c r="N14" s="2" t="s">
        <v>34</v>
      </c>
      <c r="O14" s="2" t="s">
        <v>141</v>
      </c>
      <c r="P14" s="1" t="str">
        <f t="shared" si="7"/>
        <v>01</v>
      </c>
      <c r="Q14" s="5" t="str">
        <f t="shared" si="8"/>
        <v>2321</v>
      </c>
      <c r="R14" t="str">
        <f t="shared" si="9"/>
        <v>North</v>
      </c>
      <c r="S14">
        <f t="shared" si="10"/>
        <v>5</v>
      </c>
    </row>
    <row r="15" spans="1:19" x14ac:dyDescent="0.25">
      <c r="A15" t="s">
        <v>100</v>
      </c>
      <c r="B15" t="s">
        <v>16</v>
      </c>
      <c r="C15" s="9" t="s">
        <v>42</v>
      </c>
      <c r="D15" t="str">
        <f t="shared" si="0"/>
        <v>Jim Chaffee</v>
      </c>
      <c r="E15" t="str">
        <f t="shared" si="1"/>
        <v>jim.chaffee@pushpin.com</v>
      </c>
      <c r="F15" s="1">
        <v>41792</v>
      </c>
      <c r="G15" s="3">
        <f t="shared" ca="1" si="2"/>
        <v>12.327777777777778</v>
      </c>
      <c r="H15" s="3">
        <f t="shared" ca="1" si="3"/>
        <v>12.336986301369864</v>
      </c>
      <c r="I15" s="1">
        <v>42544</v>
      </c>
      <c r="J15" s="5">
        <f t="shared" si="4"/>
        <v>2016</v>
      </c>
      <c r="K15" s="5">
        <f t="shared" si="5"/>
        <v>6</v>
      </c>
      <c r="L15" s="5">
        <f t="shared" si="6"/>
        <v>23</v>
      </c>
      <c r="M15" s="1"/>
      <c r="N15" s="2" t="s">
        <v>18</v>
      </c>
      <c r="O15" s="2" t="s">
        <v>125</v>
      </c>
      <c r="P15" s="1" t="str">
        <f t="shared" si="7"/>
        <v>03</v>
      </c>
      <c r="Q15" s="5" t="str">
        <f t="shared" si="8"/>
        <v>2432</v>
      </c>
      <c r="R15" t="str">
        <f t="shared" si="9"/>
        <v>West</v>
      </c>
      <c r="S15">
        <f t="shared" si="10"/>
        <v>4</v>
      </c>
    </row>
    <row r="16" spans="1:19" x14ac:dyDescent="0.25">
      <c r="A16" t="s">
        <v>94</v>
      </c>
      <c r="B16" t="s">
        <v>48</v>
      </c>
      <c r="C16" s="9" t="s">
        <v>47</v>
      </c>
      <c r="D16" t="str">
        <f t="shared" si="0"/>
        <v>Samantha Chairs</v>
      </c>
      <c r="E16" t="str">
        <f t="shared" si="1"/>
        <v>samantha.chairs@pushpin.com</v>
      </c>
      <c r="F16" s="1">
        <v>40595</v>
      </c>
      <c r="G16" s="3">
        <f t="shared" ca="1" si="2"/>
        <v>15.608333333333333</v>
      </c>
      <c r="H16" s="3">
        <f t="shared" ca="1" si="3"/>
        <v>15.616438356164384</v>
      </c>
      <c r="I16" s="1">
        <v>42629</v>
      </c>
      <c r="J16" s="5">
        <f t="shared" si="4"/>
        <v>2016</v>
      </c>
      <c r="K16" s="5">
        <f t="shared" si="5"/>
        <v>9</v>
      </c>
      <c r="L16" s="5">
        <f t="shared" si="6"/>
        <v>16</v>
      </c>
      <c r="M16" s="1"/>
      <c r="N16" s="2" t="s">
        <v>72</v>
      </c>
      <c r="O16" s="2" t="s">
        <v>126</v>
      </c>
      <c r="P16" s="1" t="str">
        <f t="shared" si="7"/>
        <v>02</v>
      </c>
      <c r="Q16" s="5" t="str">
        <f t="shared" si="8"/>
        <v>2962</v>
      </c>
      <c r="R16" t="str">
        <f t="shared" si="9"/>
        <v>West</v>
      </c>
      <c r="S16">
        <f t="shared" si="10"/>
        <v>4</v>
      </c>
    </row>
    <row r="17" spans="1:19" x14ac:dyDescent="0.25">
      <c r="A17" t="s">
        <v>96</v>
      </c>
      <c r="B17" t="s">
        <v>83</v>
      </c>
      <c r="C17" s="9" t="s">
        <v>82</v>
      </c>
      <c r="D17" t="str">
        <f t="shared" si="0"/>
        <v>Uma Chaudri</v>
      </c>
      <c r="E17" t="str">
        <f t="shared" si="1"/>
        <v>uma.chaudri@pushpin.com</v>
      </c>
      <c r="F17" s="1">
        <v>40994</v>
      </c>
      <c r="G17" s="3">
        <f t="shared" ca="1" si="2"/>
        <v>14.511111111111111</v>
      </c>
      <c r="H17" s="3">
        <f t="shared" ca="1" si="3"/>
        <v>14.523287671232877</v>
      </c>
      <c r="I17" s="1">
        <v>42848</v>
      </c>
      <c r="J17" s="5">
        <f t="shared" si="4"/>
        <v>2017</v>
      </c>
      <c r="K17" s="5">
        <f t="shared" si="5"/>
        <v>4</v>
      </c>
      <c r="L17" s="5">
        <f t="shared" si="6"/>
        <v>23</v>
      </c>
      <c r="M17" s="1"/>
      <c r="N17" s="2" t="s">
        <v>23</v>
      </c>
      <c r="O17" s="2" t="s">
        <v>142</v>
      </c>
      <c r="P17" s="1" t="str">
        <f t="shared" si="7"/>
        <v>03</v>
      </c>
      <c r="Q17" s="5" t="str">
        <f t="shared" si="8"/>
        <v>2134</v>
      </c>
      <c r="R17" t="str">
        <f t="shared" si="9"/>
        <v>North</v>
      </c>
      <c r="S17">
        <f t="shared" si="10"/>
        <v>5</v>
      </c>
    </row>
    <row r="18" spans="1:19" x14ac:dyDescent="0.25">
      <c r="A18" t="s">
        <v>93</v>
      </c>
      <c r="B18" t="s">
        <v>43</v>
      </c>
      <c r="C18" s="9" t="s">
        <v>22</v>
      </c>
      <c r="D18" t="str">
        <f t="shared" si="0"/>
        <v>Elizabeth Chu</v>
      </c>
      <c r="E18" t="str">
        <f t="shared" si="1"/>
        <v>elizabeth.chu@pushpin.com</v>
      </c>
      <c r="F18" s="1">
        <v>40225</v>
      </c>
      <c r="G18" s="3">
        <f t="shared" ca="1" si="2"/>
        <v>16.622222222222224</v>
      </c>
      <c r="H18" s="3">
        <f t="shared" ca="1" si="3"/>
        <v>16.63013698630137</v>
      </c>
      <c r="I18" s="1">
        <v>42860</v>
      </c>
      <c r="J18" s="5">
        <f t="shared" si="4"/>
        <v>2017</v>
      </c>
      <c r="K18" s="5">
        <f t="shared" si="5"/>
        <v>5</v>
      </c>
      <c r="L18" s="5">
        <f t="shared" si="6"/>
        <v>5</v>
      </c>
      <c r="M18" s="1"/>
      <c r="N18" s="2" t="s">
        <v>80</v>
      </c>
      <c r="O18" s="2" t="s">
        <v>127</v>
      </c>
      <c r="P18" s="1" t="str">
        <f t="shared" si="7"/>
        <v>01</v>
      </c>
      <c r="Q18" s="5" t="str">
        <f t="shared" si="8"/>
        <v>2425</v>
      </c>
      <c r="R18" t="str">
        <f t="shared" si="9"/>
        <v>West</v>
      </c>
      <c r="S18">
        <f t="shared" si="10"/>
        <v>4</v>
      </c>
    </row>
    <row r="19" spans="1:19" x14ac:dyDescent="0.25">
      <c r="A19" t="s">
        <v>12</v>
      </c>
      <c r="B19" t="s">
        <v>26</v>
      </c>
      <c r="C19" s="9" t="s">
        <v>73</v>
      </c>
      <c r="D19" t="str">
        <f t="shared" si="0"/>
        <v>Eric Chung</v>
      </c>
      <c r="E19" t="str">
        <f t="shared" si="1"/>
        <v>eric.chung@pushpin.com</v>
      </c>
      <c r="F19" s="1">
        <v>36955</v>
      </c>
      <c r="G19" s="3">
        <f t="shared" ca="1" si="2"/>
        <v>25.569444444444443</v>
      </c>
      <c r="H19" s="3">
        <f t="shared" ca="1" si="3"/>
        <v>25.589041095890412</v>
      </c>
      <c r="I19" s="1">
        <v>42540</v>
      </c>
      <c r="J19" s="5">
        <f t="shared" si="4"/>
        <v>2016</v>
      </c>
      <c r="K19" s="5">
        <f t="shared" si="5"/>
        <v>6</v>
      </c>
      <c r="L19" s="5">
        <f t="shared" si="6"/>
        <v>19</v>
      </c>
      <c r="M19" s="1"/>
      <c r="N19" s="2" t="s">
        <v>80</v>
      </c>
      <c r="O19" s="2" t="s">
        <v>128</v>
      </c>
      <c r="P19" s="1" t="str">
        <f t="shared" si="7"/>
        <v>03</v>
      </c>
      <c r="Q19" s="5" t="str">
        <f t="shared" si="8"/>
        <v>2796</v>
      </c>
      <c r="R19" t="str">
        <f t="shared" si="9"/>
        <v>West</v>
      </c>
      <c r="S19">
        <f t="shared" si="10"/>
        <v>4</v>
      </c>
    </row>
    <row r="20" spans="1:19" x14ac:dyDescent="0.25">
      <c r="A20" t="s">
        <v>116</v>
      </c>
      <c r="B20" t="s">
        <v>30</v>
      </c>
      <c r="C20" s="9" t="s">
        <v>79</v>
      </c>
      <c r="D20" t="str">
        <f t="shared" si="0"/>
        <v>Elizabeth Clark</v>
      </c>
      <c r="E20" t="str">
        <f t="shared" si="1"/>
        <v>elizabeth.clark@pushpin.com</v>
      </c>
      <c r="F20" s="1">
        <v>42912</v>
      </c>
      <c r="G20" s="3">
        <f t="shared" ca="1" si="2"/>
        <v>9.2611111111111111</v>
      </c>
      <c r="H20" s="3">
        <f t="shared" ca="1" si="3"/>
        <v>9.2684931506849306</v>
      </c>
      <c r="I20" s="1">
        <v>42828</v>
      </c>
      <c r="J20" s="5">
        <f t="shared" si="4"/>
        <v>2017</v>
      </c>
      <c r="K20" s="5">
        <f t="shared" si="5"/>
        <v>4</v>
      </c>
      <c r="L20" s="5">
        <f t="shared" si="6"/>
        <v>3</v>
      </c>
      <c r="M20" s="1"/>
      <c r="N20" s="2" t="s">
        <v>36</v>
      </c>
      <c r="O20" s="2" t="s">
        <v>130</v>
      </c>
      <c r="P20" s="1" t="str">
        <f t="shared" si="7"/>
        <v>02</v>
      </c>
      <c r="Q20" s="5" t="str">
        <f t="shared" si="8"/>
        <v>2414</v>
      </c>
      <c r="R20" t="str">
        <f t="shared" si="9"/>
        <v>West</v>
      </c>
      <c r="S20">
        <f t="shared" si="10"/>
        <v>4</v>
      </c>
    </row>
    <row r="21" spans="1:19" x14ac:dyDescent="0.25">
      <c r="A21" t="s">
        <v>104</v>
      </c>
      <c r="B21" t="s">
        <v>30</v>
      </c>
      <c r="C21" s="9" t="s">
        <v>76</v>
      </c>
      <c r="D21" t="str">
        <f t="shared" si="0"/>
        <v>Anna Clark</v>
      </c>
      <c r="E21" t="str">
        <f t="shared" si="1"/>
        <v>anna.clark@pushpin.com</v>
      </c>
      <c r="F21" s="1">
        <v>41995</v>
      </c>
      <c r="G21" s="3">
        <f t="shared" ca="1" si="2"/>
        <v>11.772222222222222</v>
      </c>
      <c r="H21" s="3">
        <f t="shared" ca="1" si="3"/>
        <v>11.780821917808218</v>
      </c>
      <c r="I21" s="1">
        <v>42731</v>
      </c>
      <c r="J21" s="5">
        <f t="shared" si="4"/>
        <v>2016</v>
      </c>
      <c r="K21" s="5">
        <f t="shared" si="5"/>
        <v>12</v>
      </c>
      <c r="L21" s="5">
        <f t="shared" si="6"/>
        <v>27</v>
      </c>
      <c r="M21" s="1"/>
      <c r="N21" s="2" t="s">
        <v>21</v>
      </c>
      <c r="O21" s="2" t="s">
        <v>129</v>
      </c>
      <c r="P21" s="1" t="str">
        <f t="shared" si="7"/>
        <v>03</v>
      </c>
      <c r="Q21" s="5" t="str">
        <f t="shared" si="8"/>
        <v>2601</v>
      </c>
      <c r="R21" t="str">
        <f t="shared" si="9"/>
        <v>West</v>
      </c>
      <c r="S21">
        <f t="shared" si="10"/>
        <v>4</v>
      </c>
    </row>
    <row r="22" spans="1:19" x14ac:dyDescent="0.25">
      <c r="A22" t="s">
        <v>99</v>
      </c>
      <c r="B22" t="s">
        <v>13</v>
      </c>
      <c r="C22" s="9" t="s">
        <v>29</v>
      </c>
      <c r="D22" t="str">
        <f t="shared" si="0"/>
        <v>Sabrina Cole</v>
      </c>
      <c r="E22" t="str">
        <f t="shared" si="1"/>
        <v>sabrina.cole@pushpin.com</v>
      </c>
      <c r="F22" s="1">
        <v>41407</v>
      </c>
      <c r="G22" s="3">
        <f t="shared" ca="1" si="2"/>
        <v>13.380555555555556</v>
      </c>
      <c r="H22" s="3">
        <f t="shared" ca="1" si="3"/>
        <v>13.391780821917807</v>
      </c>
      <c r="I22" s="1">
        <v>42720</v>
      </c>
      <c r="J22" s="5">
        <f t="shared" si="4"/>
        <v>2016</v>
      </c>
      <c r="K22" s="5">
        <f t="shared" si="5"/>
        <v>12</v>
      </c>
      <c r="L22" s="5">
        <f t="shared" si="6"/>
        <v>16</v>
      </c>
      <c r="M22" s="1"/>
      <c r="N22" s="2" t="s">
        <v>36</v>
      </c>
      <c r="O22" s="2" t="s">
        <v>131</v>
      </c>
      <c r="P22" s="1" t="str">
        <f t="shared" si="7"/>
        <v>02</v>
      </c>
      <c r="Q22" s="5" t="str">
        <f t="shared" si="8"/>
        <v>2537</v>
      </c>
      <c r="R22" t="str">
        <f t="shared" si="9"/>
        <v>West</v>
      </c>
      <c r="S22">
        <f t="shared" si="10"/>
        <v>4</v>
      </c>
    </row>
    <row r="23" spans="1:19" x14ac:dyDescent="0.25">
      <c r="A23" t="s">
        <v>91</v>
      </c>
      <c r="B23" t="s">
        <v>37</v>
      </c>
      <c r="C23" s="9" t="s">
        <v>25</v>
      </c>
      <c r="D23" t="str">
        <f t="shared" si="0"/>
        <v>Janet Comuntzis</v>
      </c>
      <c r="E23" t="str">
        <f t="shared" si="1"/>
        <v>janet.comuntzis@pushpin.com</v>
      </c>
      <c r="F23" s="1">
        <v>39692</v>
      </c>
      <c r="G23" s="3">
        <f t="shared" ca="1" si="2"/>
        <v>18.080555555555556</v>
      </c>
      <c r="H23" s="3">
        <f t="shared" ca="1" si="3"/>
        <v>18.090410958904108</v>
      </c>
      <c r="I23" s="1">
        <v>42598</v>
      </c>
      <c r="J23" s="5">
        <f t="shared" si="4"/>
        <v>2016</v>
      </c>
      <c r="K23" s="5">
        <f t="shared" si="5"/>
        <v>8</v>
      </c>
      <c r="L23" s="5">
        <f t="shared" si="6"/>
        <v>16</v>
      </c>
      <c r="M23" s="1"/>
      <c r="N23" s="2" t="s">
        <v>36</v>
      </c>
      <c r="O23" s="2" t="s">
        <v>132</v>
      </c>
      <c r="P23" s="1" t="str">
        <f t="shared" si="7"/>
        <v>02</v>
      </c>
      <c r="Q23" s="5" t="str">
        <f t="shared" si="8"/>
        <v>2286</v>
      </c>
      <c r="R23" t="str">
        <f t="shared" si="9"/>
        <v>West</v>
      </c>
      <c r="S23">
        <f t="shared" si="10"/>
        <v>4</v>
      </c>
    </row>
    <row r="24" spans="1:19" x14ac:dyDescent="0.25">
      <c r="A24" t="s">
        <v>98</v>
      </c>
      <c r="B24" t="s">
        <v>10</v>
      </c>
      <c r="C24" s="9" t="s">
        <v>27</v>
      </c>
      <c r="D24" t="str">
        <f t="shared" si="0"/>
        <v>Bob Decker</v>
      </c>
      <c r="E24" t="str">
        <f t="shared" si="1"/>
        <v>bob.decker@pushpin.com</v>
      </c>
      <c r="F24" s="1">
        <v>41214</v>
      </c>
      <c r="G24" s="3">
        <f t="shared" ca="1" si="2"/>
        <v>13.91388888888889</v>
      </c>
      <c r="H24" s="3">
        <f t="shared" ca="1" si="3"/>
        <v>13.920547945205479</v>
      </c>
      <c r="I24" s="1">
        <v>42566</v>
      </c>
      <c r="J24" s="5">
        <f t="shared" si="4"/>
        <v>2016</v>
      </c>
      <c r="K24" s="5">
        <f t="shared" si="5"/>
        <v>7</v>
      </c>
      <c r="L24" s="5">
        <f t="shared" si="6"/>
        <v>15</v>
      </c>
      <c r="M24" s="1"/>
      <c r="N24" s="2" t="s">
        <v>80</v>
      </c>
      <c r="O24" s="2" t="s">
        <v>143</v>
      </c>
      <c r="P24" s="1" t="str">
        <f t="shared" si="7"/>
        <v>01</v>
      </c>
      <c r="Q24" s="5" t="str">
        <f t="shared" si="8"/>
        <v>2086</v>
      </c>
      <c r="R24" t="str">
        <f t="shared" si="9"/>
        <v>North</v>
      </c>
      <c r="S24">
        <f t="shared" si="10"/>
        <v>5</v>
      </c>
    </row>
    <row r="25" spans="1:19" x14ac:dyDescent="0.25">
      <c r="A25" t="s">
        <v>97</v>
      </c>
      <c r="B25" t="s">
        <v>44</v>
      </c>
      <c r="C25" s="9" t="s">
        <v>45</v>
      </c>
      <c r="D25" t="str">
        <f t="shared" si="0"/>
        <v>Tina Desiato</v>
      </c>
      <c r="E25" t="str">
        <f t="shared" si="1"/>
        <v>tina.desiato@pushpin.com</v>
      </c>
      <c r="F25" s="1">
        <v>41176</v>
      </c>
      <c r="G25" s="3">
        <f t="shared" ca="1" si="2"/>
        <v>14.016666666666667</v>
      </c>
      <c r="H25" s="3">
        <f t="shared" ca="1" si="3"/>
        <v>14.024657534246575</v>
      </c>
      <c r="I25" s="1">
        <v>42835</v>
      </c>
      <c r="J25" s="5">
        <f t="shared" si="4"/>
        <v>2017</v>
      </c>
      <c r="K25" s="5">
        <f t="shared" si="5"/>
        <v>4</v>
      </c>
      <c r="L25" s="5">
        <f t="shared" si="6"/>
        <v>10</v>
      </c>
      <c r="M25" s="1"/>
      <c r="N25" t="s">
        <v>80</v>
      </c>
      <c r="O25" s="2" t="s">
        <v>144</v>
      </c>
      <c r="P25" s="1" t="str">
        <f t="shared" si="7"/>
        <v>01</v>
      </c>
      <c r="Q25" s="5" t="str">
        <f t="shared" si="8"/>
        <v>2358</v>
      </c>
      <c r="R25" t="str">
        <f t="shared" si="9"/>
        <v>North</v>
      </c>
      <c r="S25">
        <f t="shared" si="10"/>
        <v>5</v>
      </c>
    </row>
    <row r="26" spans="1:19" x14ac:dyDescent="0.25">
      <c r="A26" t="s">
        <v>107</v>
      </c>
      <c r="B26" t="s">
        <v>19</v>
      </c>
      <c r="C26" s="9" t="s">
        <v>40</v>
      </c>
      <c r="D26" t="str">
        <f t="shared" si="0"/>
        <v>Alexandra Donnell</v>
      </c>
      <c r="E26" t="str">
        <f t="shared" si="1"/>
        <v>alexandra.donnell@pushpin.com</v>
      </c>
      <c r="F26" s="1">
        <v>42233</v>
      </c>
      <c r="G26" s="3">
        <f t="shared" ca="1" si="2"/>
        <v>11.119444444444444</v>
      </c>
      <c r="H26" s="3">
        <f t="shared" ca="1" si="3"/>
        <v>11.128767123287671</v>
      </c>
      <c r="I26" s="1">
        <v>42658</v>
      </c>
      <c r="J26" s="5">
        <f t="shared" si="4"/>
        <v>2016</v>
      </c>
      <c r="K26" s="5">
        <f t="shared" si="5"/>
        <v>10</v>
      </c>
      <c r="L26" s="5">
        <f t="shared" si="6"/>
        <v>15</v>
      </c>
      <c r="M26" s="1"/>
      <c r="N26" s="2" t="s">
        <v>21</v>
      </c>
      <c r="O26" s="2" t="s">
        <v>133</v>
      </c>
      <c r="P26" s="1" t="str">
        <f t="shared" si="7"/>
        <v>03</v>
      </c>
      <c r="Q26" s="5" t="str">
        <f t="shared" si="8"/>
        <v>2082</v>
      </c>
      <c r="R26" t="str">
        <f t="shared" si="9"/>
        <v>West</v>
      </c>
      <c r="S26">
        <f t="shared" si="10"/>
        <v>4</v>
      </c>
    </row>
    <row r="27" spans="1:19" x14ac:dyDescent="0.25">
      <c r="A27" t="s">
        <v>111</v>
      </c>
      <c r="B27" t="s">
        <v>24</v>
      </c>
      <c r="C27" s="9" t="s">
        <v>38</v>
      </c>
      <c r="D27" t="str">
        <f t="shared" si="0"/>
        <v>Mark Ellis</v>
      </c>
      <c r="E27" t="str">
        <f t="shared" si="1"/>
        <v>mark.ellis@pushpin.com</v>
      </c>
      <c r="F27" s="1">
        <v>42376</v>
      </c>
      <c r="G27" s="3">
        <f t="shared" ca="1" si="2"/>
        <v>10.730555555555556</v>
      </c>
      <c r="H27" s="3">
        <f t="shared" ca="1" si="3"/>
        <v>10.736986301369862</v>
      </c>
      <c r="I27" s="1">
        <v>42614</v>
      </c>
      <c r="J27" s="5">
        <f t="shared" si="4"/>
        <v>2016</v>
      </c>
      <c r="K27" s="5">
        <f t="shared" si="5"/>
        <v>9</v>
      </c>
      <c r="L27" s="5">
        <f t="shared" si="6"/>
        <v>1</v>
      </c>
      <c r="M27" s="1"/>
      <c r="N27" s="2" t="s">
        <v>80</v>
      </c>
      <c r="O27" s="2" t="s">
        <v>134</v>
      </c>
      <c r="P27" s="1" t="str">
        <f t="shared" si="7"/>
        <v>03</v>
      </c>
      <c r="Q27" s="5" t="str">
        <f t="shared" si="8"/>
        <v>2482</v>
      </c>
      <c r="R27" t="str">
        <f t="shared" si="9"/>
        <v>West</v>
      </c>
      <c r="S27">
        <f t="shared" si="10"/>
        <v>4</v>
      </c>
    </row>
    <row r="28" spans="1:19" x14ac:dyDescent="0.25">
      <c r="A28" t="s">
        <v>89</v>
      </c>
      <c r="B28" t="s">
        <v>68</v>
      </c>
      <c r="C28" s="9" t="s">
        <v>67</v>
      </c>
      <c r="D28" t="str">
        <f t="shared" si="0"/>
        <v>Nicholas Fernandes</v>
      </c>
      <c r="E28" t="str">
        <f t="shared" si="1"/>
        <v>nicholas.fernandes@pushpin.com</v>
      </c>
      <c r="F28" s="1">
        <v>39028</v>
      </c>
      <c r="G28" s="3">
        <f t="shared" ca="1" si="2"/>
        <v>19.897222222222222</v>
      </c>
      <c r="H28" s="3">
        <f t="shared" ca="1" si="3"/>
        <v>19.909589041095892</v>
      </c>
      <c r="I28" s="1">
        <v>42817</v>
      </c>
      <c r="J28" s="5">
        <f t="shared" si="4"/>
        <v>2017</v>
      </c>
      <c r="K28" s="5">
        <f t="shared" si="5"/>
        <v>3</v>
      </c>
      <c r="L28" s="5">
        <f t="shared" si="6"/>
        <v>23</v>
      </c>
      <c r="M28" s="1"/>
      <c r="N28" s="2" t="s">
        <v>21</v>
      </c>
      <c r="O28" s="2" t="s">
        <v>145</v>
      </c>
      <c r="P28" s="1" t="str">
        <f t="shared" si="7"/>
        <v>02</v>
      </c>
      <c r="Q28" s="5" t="str">
        <f t="shared" si="8"/>
        <v>2372</v>
      </c>
      <c r="R28" t="str">
        <f t="shared" si="9"/>
        <v>North</v>
      </c>
      <c r="S28">
        <f t="shared" si="10"/>
        <v>5</v>
      </c>
    </row>
    <row r="29" spans="1:19" x14ac:dyDescent="0.25">
      <c r="A29" t="s">
        <v>86</v>
      </c>
      <c r="B29" t="s">
        <v>41</v>
      </c>
      <c r="C29" s="9" t="s">
        <v>32</v>
      </c>
      <c r="D29" t="str">
        <f t="shared" si="0"/>
        <v>Mary Ferris</v>
      </c>
      <c r="E29" t="str">
        <f t="shared" si="1"/>
        <v>mary.ferris@pushpin.com</v>
      </c>
      <c r="F29" s="1">
        <v>38553</v>
      </c>
      <c r="G29" s="3">
        <f t="shared" ca="1" si="2"/>
        <v>21.194444444444443</v>
      </c>
      <c r="H29" s="3">
        <f t="shared" ca="1" si="3"/>
        <v>21.210958904109589</v>
      </c>
      <c r="I29" s="1">
        <v>42845</v>
      </c>
      <c r="J29" s="5">
        <f t="shared" si="4"/>
        <v>2017</v>
      </c>
      <c r="K29" s="5">
        <f t="shared" si="5"/>
        <v>4</v>
      </c>
      <c r="L29" s="5">
        <f t="shared" si="6"/>
        <v>20</v>
      </c>
      <c r="M29" s="1"/>
      <c r="N29" s="2" t="s">
        <v>72</v>
      </c>
      <c r="O29" s="2" t="s">
        <v>146</v>
      </c>
      <c r="P29" s="1" t="str">
        <f t="shared" si="7"/>
        <v>03</v>
      </c>
      <c r="Q29" s="5" t="str">
        <f t="shared" si="8"/>
        <v>2392</v>
      </c>
      <c r="R29" t="str">
        <f t="shared" si="9"/>
        <v>North</v>
      </c>
      <c r="S29">
        <f t="shared" si="10"/>
        <v>5</v>
      </c>
    </row>
    <row r="30" spans="1:19" x14ac:dyDescent="0.25">
      <c r="A30" t="s">
        <v>87</v>
      </c>
      <c r="B30" t="s">
        <v>39</v>
      </c>
      <c r="C30" s="9" t="s">
        <v>20</v>
      </c>
      <c r="D30" t="str">
        <f t="shared" si="0"/>
        <v>Susan Filosa</v>
      </c>
      <c r="E30" t="str">
        <f t="shared" si="1"/>
        <v>susan.filosa@pushpin.com</v>
      </c>
      <c r="F30" s="1">
        <v>38749</v>
      </c>
      <c r="G30" s="3">
        <f t="shared" ca="1" si="2"/>
        <v>20.663888888888888</v>
      </c>
      <c r="H30" s="3">
        <f t="shared" ca="1" si="3"/>
        <v>20.673972602739727</v>
      </c>
      <c r="I30" s="1">
        <v>42776</v>
      </c>
      <c r="J30" s="5">
        <f t="shared" si="4"/>
        <v>2017</v>
      </c>
      <c r="K30" s="5">
        <f t="shared" si="5"/>
        <v>2</v>
      </c>
      <c r="L30" s="5">
        <f t="shared" si="6"/>
        <v>10</v>
      </c>
      <c r="M30" s="1"/>
      <c r="N30" s="2" t="s">
        <v>36</v>
      </c>
      <c r="O30" s="2" t="s">
        <v>135</v>
      </c>
      <c r="P30" s="1" t="str">
        <f t="shared" si="7"/>
        <v>02</v>
      </c>
      <c r="Q30" s="5" t="str">
        <f t="shared" si="8"/>
        <v>2279</v>
      </c>
      <c r="R30" t="str">
        <f t="shared" si="9"/>
        <v>West</v>
      </c>
      <c r="S30">
        <f t="shared" si="10"/>
        <v>4</v>
      </c>
    </row>
    <row r="31" spans="1:19" x14ac:dyDescent="0.25">
      <c r="A31" t="s">
        <v>15</v>
      </c>
      <c r="B31" t="s">
        <v>28</v>
      </c>
      <c r="C31" s="9" t="s">
        <v>14</v>
      </c>
      <c r="D31" t="str">
        <f t="shared" si="0"/>
        <v>Daniel Flanders</v>
      </c>
      <c r="E31" t="str">
        <f t="shared" si="1"/>
        <v>daniel.flanders@pushpin.com</v>
      </c>
      <c r="F31" s="1">
        <v>37515</v>
      </c>
      <c r="G31" s="3">
        <f t="shared" ca="1" si="2"/>
        <v>24.038888888888888</v>
      </c>
      <c r="H31" s="3">
        <f t="shared" ca="1" si="3"/>
        <v>24.054794520547944</v>
      </c>
      <c r="I31" s="1">
        <v>42586</v>
      </c>
      <c r="J31" s="5">
        <f t="shared" si="4"/>
        <v>2016</v>
      </c>
      <c r="K31" s="5">
        <f t="shared" si="5"/>
        <v>8</v>
      </c>
      <c r="L31" s="5">
        <f t="shared" si="6"/>
        <v>4</v>
      </c>
      <c r="M31" s="1"/>
      <c r="N31" s="2" t="s">
        <v>72</v>
      </c>
      <c r="O31" s="2" t="s">
        <v>147</v>
      </c>
      <c r="P31" s="1" t="str">
        <f t="shared" si="7"/>
        <v>02</v>
      </c>
      <c r="Q31" s="5" t="str">
        <f t="shared" si="8"/>
        <v>2639</v>
      </c>
      <c r="R31" t="str">
        <f t="shared" si="9"/>
        <v>North</v>
      </c>
      <c r="S31">
        <f t="shared" si="10"/>
        <v>5</v>
      </c>
    </row>
    <row r="32" spans="1:19" x14ac:dyDescent="0.25">
      <c r="A32" t="s">
        <v>106</v>
      </c>
      <c r="B32" t="s">
        <v>54</v>
      </c>
      <c r="C32" s="9" t="s">
        <v>53</v>
      </c>
      <c r="D32" t="str">
        <f t="shared" si="0"/>
        <v>Leighton Forrest</v>
      </c>
      <c r="E32" t="str">
        <f t="shared" si="1"/>
        <v>leighton.forrest@pushpin.com</v>
      </c>
      <c r="F32" s="1">
        <v>42125</v>
      </c>
      <c r="G32" s="3">
        <f t="shared" ca="1" si="2"/>
        <v>11.41388888888889</v>
      </c>
      <c r="H32" s="3">
        <f t="shared" ca="1" si="3"/>
        <v>11.424657534246576</v>
      </c>
      <c r="I32" s="1">
        <v>42710</v>
      </c>
      <c r="J32" s="5">
        <f t="shared" si="4"/>
        <v>2016</v>
      </c>
      <c r="K32" s="5">
        <f t="shared" si="5"/>
        <v>12</v>
      </c>
      <c r="L32" s="5">
        <f t="shared" si="6"/>
        <v>6</v>
      </c>
      <c r="M32" s="1"/>
      <c r="N32" s="2" t="s">
        <v>72</v>
      </c>
      <c r="O32" s="2" t="s">
        <v>148</v>
      </c>
      <c r="P32" s="1" t="str">
        <f t="shared" si="7"/>
        <v>02</v>
      </c>
      <c r="Q32" s="5" t="str">
        <f t="shared" si="8"/>
        <v>2284</v>
      </c>
      <c r="R32" t="str">
        <f t="shared" si="9"/>
        <v>North</v>
      </c>
      <c r="S32">
        <f t="shared" si="10"/>
        <v>5</v>
      </c>
    </row>
    <row r="33" spans="1:19" x14ac:dyDescent="0.25">
      <c r="A33" t="s">
        <v>114</v>
      </c>
      <c r="B33" t="s">
        <v>52</v>
      </c>
      <c r="C33" s="9" t="s">
        <v>51</v>
      </c>
      <c r="D33" t="str">
        <f t="shared" si="0"/>
        <v>Phoebe Gour</v>
      </c>
      <c r="E33" t="str">
        <f t="shared" si="1"/>
        <v>phoebe.gour@pushpin.com</v>
      </c>
      <c r="F33" s="1">
        <v>42726</v>
      </c>
      <c r="G33" s="3">
        <f t="shared" ca="1" si="2"/>
        <v>9.7722222222222221</v>
      </c>
      <c r="H33" s="3">
        <f t="shared" ca="1" si="3"/>
        <v>9.7780821917808218</v>
      </c>
      <c r="I33" s="1">
        <v>42539</v>
      </c>
      <c r="J33" s="5">
        <f t="shared" si="4"/>
        <v>2016</v>
      </c>
      <c r="K33" s="5">
        <f t="shared" si="5"/>
        <v>6</v>
      </c>
      <c r="L33" s="5">
        <f t="shared" si="6"/>
        <v>18</v>
      </c>
      <c r="M33" s="1"/>
      <c r="N33" s="2" t="s">
        <v>72</v>
      </c>
      <c r="O33" s="2" t="s">
        <v>149</v>
      </c>
      <c r="P33" s="1" t="str">
        <f t="shared" si="7"/>
        <v>02</v>
      </c>
      <c r="Q33" s="5" t="str">
        <f t="shared" si="8"/>
        <v>2910</v>
      </c>
      <c r="R33" t="str">
        <f t="shared" si="9"/>
        <v>North</v>
      </c>
      <c r="S33">
        <f t="shared" si="10"/>
        <v>5</v>
      </c>
    </row>
    <row r="34" spans="1:19" x14ac:dyDescent="0.25">
      <c r="A34" t="s">
        <v>92</v>
      </c>
      <c r="B34" t="s">
        <v>50</v>
      </c>
      <c r="C34" s="9" t="s">
        <v>49</v>
      </c>
      <c r="D34" t="str">
        <f t="shared" si="0"/>
        <v>Mihael Khan</v>
      </c>
      <c r="E34" t="str">
        <f t="shared" si="1"/>
        <v>mihael.khan@pushpin.com</v>
      </c>
      <c r="F34" s="1">
        <v>40162</v>
      </c>
      <c r="G34" s="3">
        <f t="shared" ca="1" si="2"/>
        <v>16.791666666666668</v>
      </c>
      <c r="H34" s="3">
        <f t="shared" ca="1" si="3"/>
        <v>16.802739726027397</v>
      </c>
      <c r="I34" s="1">
        <v>42563</v>
      </c>
      <c r="J34" s="5">
        <f t="shared" si="4"/>
        <v>2016</v>
      </c>
      <c r="K34" s="5">
        <f t="shared" si="5"/>
        <v>7</v>
      </c>
      <c r="L34" s="5">
        <f t="shared" si="6"/>
        <v>12</v>
      </c>
      <c r="M34" s="1"/>
      <c r="N34" s="2" t="s">
        <v>72</v>
      </c>
      <c r="O34" s="2" t="s">
        <v>150</v>
      </c>
      <c r="P34" s="1" t="str">
        <f t="shared" si="7"/>
        <v>02</v>
      </c>
      <c r="Q34" s="5" t="str">
        <f t="shared" si="8"/>
        <v>2294</v>
      </c>
      <c r="R34" t="str">
        <f t="shared" si="9"/>
        <v>North</v>
      </c>
      <c r="S34">
        <f t="shared" si="10"/>
        <v>5</v>
      </c>
    </row>
    <row r="35" spans="1:19" x14ac:dyDescent="0.25">
      <c r="A35" t="s">
        <v>113</v>
      </c>
      <c r="B35" t="s">
        <v>78</v>
      </c>
      <c r="C35" s="9" t="s">
        <v>77</v>
      </c>
      <c r="D35" t="str">
        <f t="shared" si="0"/>
        <v>Sean Sanders</v>
      </c>
      <c r="E35" t="str">
        <f t="shared" si="1"/>
        <v>sean.sanders@pushpin.com</v>
      </c>
      <c r="F35" s="1">
        <v>42892</v>
      </c>
      <c r="G35" s="3">
        <f t="shared" ca="1" si="2"/>
        <v>9.3166666666666664</v>
      </c>
      <c r="H35" s="3">
        <f t="shared" ca="1" si="3"/>
        <v>9.3232876712328761</v>
      </c>
      <c r="I35" s="1">
        <v>42731</v>
      </c>
      <c r="J35" s="5">
        <f t="shared" si="4"/>
        <v>2016</v>
      </c>
      <c r="K35" s="5">
        <f t="shared" si="5"/>
        <v>12</v>
      </c>
      <c r="L35" s="5">
        <f t="shared" si="6"/>
        <v>27</v>
      </c>
      <c r="M35" s="1"/>
      <c r="N35" s="2" t="s">
        <v>23</v>
      </c>
      <c r="O35" s="2" t="s">
        <v>136</v>
      </c>
      <c r="P35" s="1" t="str">
        <f t="shared" si="7"/>
        <v>03</v>
      </c>
      <c r="Q35" s="5" t="str">
        <f t="shared" si="8"/>
        <v>2765</v>
      </c>
      <c r="R35" t="str">
        <f t="shared" si="9"/>
        <v>West</v>
      </c>
      <c r="S35">
        <f t="shared" si="10"/>
        <v>4</v>
      </c>
    </row>
    <row r="36" spans="1:19" x14ac:dyDescent="0.25">
      <c r="A36" t="s">
        <v>110</v>
      </c>
      <c r="B36" t="s">
        <v>70</v>
      </c>
      <c r="C36" s="9" t="s">
        <v>69</v>
      </c>
      <c r="D36" t="str">
        <f t="shared" si="0"/>
        <v>Radhya Staples</v>
      </c>
      <c r="E36" t="str">
        <f t="shared" si="1"/>
        <v>radhya.staples@pushpin.com</v>
      </c>
      <c r="F36" s="1">
        <v>42325</v>
      </c>
      <c r="G36" s="3">
        <f t="shared" ca="1" si="2"/>
        <v>10.869444444444444</v>
      </c>
      <c r="H36" s="3">
        <f t="shared" ca="1" si="3"/>
        <v>10.876712328767123</v>
      </c>
      <c r="I36" s="1">
        <v>42590</v>
      </c>
      <c r="J36" s="5">
        <f t="shared" si="4"/>
        <v>2016</v>
      </c>
      <c r="K36" s="5">
        <f t="shared" si="5"/>
        <v>8</v>
      </c>
      <c r="L36" s="5">
        <f t="shared" si="6"/>
        <v>8</v>
      </c>
      <c r="M36" s="1"/>
      <c r="N36" s="2" t="s">
        <v>72</v>
      </c>
      <c r="O36" s="2" t="s">
        <v>151</v>
      </c>
      <c r="P36" s="1" t="str">
        <f t="shared" si="7"/>
        <v>02</v>
      </c>
      <c r="Q36" s="5" t="str">
        <f t="shared" si="8"/>
        <v>2260</v>
      </c>
      <c r="R36" t="str">
        <f t="shared" si="9"/>
        <v>North</v>
      </c>
      <c r="S36">
        <f t="shared" si="10"/>
        <v>5</v>
      </c>
    </row>
    <row r="37" spans="1:19" x14ac:dyDescent="0.25">
      <c r="A37" t="s">
        <v>95</v>
      </c>
      <c r="B37" t="s">
        <v>56</v>
      </c>
      <c r="C37" s="9" t="s">
        <v>55</v>
      </c>
      <c r="D37" t="str">
        <f t="shared" si="0"/>
        <v>Natasha Song</v>
      </c>
      <c r="E37" t="str">
        <f t="shared" si="1"/>
        <v>natasha.song@pushpin.com</v>
      </c>
      <c r="F37" s="1">
        <v>40714</v>
      </c>
      <c r="G37" s="3">
        <f t="shared" ca="1" si="2"/>
        <v>15.277777777777779</v>
      </c>
      <c r="H37" s="3">
        <f t="shared" ca="1" si="3"/>
        <v>15.29041095890411</v>
      </c>
      <c r="I37" s="1">
        <v>42507</v>
      </c>
      <c r="J37" s="5">
        <f t="shared" si="4"/>
        <v>2016</v>
      </c>
      <c r="K37" s="5">
        <f t="shared" si="5"/>
        <v>5</v>
      </c>
      <c r="L37" s="5">
        <f t="shared" si="6"/>
        <v>17</v>
      </c>
      <c r="M37" s="1"/>
      <c r="N37" s="2" t="s">
        <v>72</v>
      </c>
      <c r="O37" s="2" t="s">
        <v>156</v>
      </c>
      <c r="P37" s="1" t="str">
        <f t="shared" si="7"/>
        <v>02</v>
      </c>
      <c r="Q37" s="5" t="str">
        <f t="shared" si="8"/>
        <v>2578</v>
      </c>
      <c r="R37" t="str">
        <f t="shared" si="9"/>
        <v>West</v>
      </c>
      <c r="S37">
        <f t="shared" si="10"/>
        <v>4</v>
      </c>
    </row>
    <row r="38" spans="1:19" x14ac:dyDescent="0.25">
      <c r="A38" t="s">
        <v>109</v>
      </c>
      <c r="B38" t="s">
        <v>71</v>
      </c>
      <c r="C38" s="9" t="s">
        <v>159</v>
      </c>
      <c r="D38" t="str">
        <f t="shared" si="0"/>
        <v>Preston Senome</v>
      </c>
      <c r="E38" t="str">
        <f t="shared" si="1"/>
        <v>preston.senome@pushpin.com</v>
      </c>
      <c r="F38" s="1">
        <v>42326</v>
      </c>
      <c r="G38" s="3">
        <f t="shared" ca="1" si="2"/>
        <v>10.866666666666667</v>
      </c>
      <c r="H38" s="3">
        <f t="shared" ca="1" si="3"/>
        <v>10.873972602739727</v>
      </c>
      <c r="I38" s="1">
        <v>42801</v>
      </c>
      <c r="J38" s="5">
        <f t="shared" si="4"/>
        <v>2017</v>
      </c>
      <c r="K38" s="5">
        <f t="shared" si="5"/>
        <v>3</v>
      </c>
      <c r="L38" s="5">
        <f t="shared" si="6"/>
        <v>7</v>
      </c>
      <c r="M38" s="1"/>
      <c r="N38" s="2" t="s">
        <v>72</v>
      </c>
      <c r="O38" s="2" t="s">
        <v>152</v>
      </c>
      <c r="P38" s="1" t="str">
        <f t="shared" si="7"/>
        <v>02</v>
      </c>
      <c r="Q38" s="5" t="str">
        <f t="shared" si="8"/>
        <v>2654</v>
      </c>
      <c r="R38" t="str">
        <f t="shared" si="9"/>
        <v>North</v>
      </c>
      <c r="S38">
        <f t="shared" si="10"/>
        <v>5</v>
      </c>
    </row>
    <row r="39" spans="1:19" x14ac:dyDescent="0.25">
      <c r="A39" t="s">
        <v>115</v>
      </c>
      <c r="B39" t="s">
        <v>75</v>
      </c>
      <c r="C39" s="9" t="s">
        <v>74</v>
      </c>
      <c r="D39" t="str">
        <f t="shared" si="0"/>
        <v>Mei Wang</v>
      </c>
      <c r="E39" t="str">
        <f t="shared" si="1"/>
        <v>mei.wang@pushpin.com</v>
      </c>
      <c r="F39" s="1">
        <v>40189</v>
      </c>
      <c r="G39" s="3">
        <f t="shared" ca="1" si="2"/>
        <v>16.719444444444445</v>
      </c>
      <c r="H39" s="3">
        <f t="shared" ca="1" si="3"/>
        <v>16.728767123287671</v>
      </c>
      <c r="I39" s="1">
        <v>42839</v>
      </c>
      <c r="J39" s="5">
        <f t="shared" si="4"/>
        <v>2017</v>
      </c>
      <c r="K39" s="5">
        <f t="shared" si="5"/>
        <v>4</v>
      </c>
      <c r="L39" s="5">
        <f t="shared" si="6"/>
        <v>14</v>
      </c>
      <c r="M39" s="1"/>
      <c r="N39" s="2" t="s">
        <v>34</v>
      </c>
      <c r="O39" s="2" t="s">
        <v>137</v>
      </c>
      <c r="P39" s="1" t="str">
        <f t="shared" si="7"/>
        <v>01</v>
      </c>
      <c r="Q39" s="5" t="str">
        <f t="shared" si="8"/>
        <v>2783</v>
      </c>
      <c r="R39" t="str">
        <f t="shared" si="9"/>
        <v>West</v>
      </c>
      <c r="S39">
        <f t="shared" si="10"/>
        <v>4</v>
      </c>
    </row>
    <row r="40" spans="1:19" x14ac:dyDescent="0.25">
      <c r="A40" t="s">
        <v>105</v>
      </c>
      <c r="B40" t="s">
        <v>58</v>
      </c>
      <c r="C40" s="9" t="s">
        <v>57</v>
      </c>
      <c r="D40" t="str">
        <f t="shared" si="0"/>
        <v>Aanya Zhang</v>
      </c>
      <c r="E40" t="str">
        <f t="shared" si="1"/>
        <v>aanya.zhang@pushpin.com</v>
      </c>
      <c r="F40" s="1">
        <v>42009</v>
      </c>
      <c r="G40" s="3">
        <f t="shared" ca="1" si="2"/>
        <v>11.736111111111111</v>
      </c>
      <c r="H40" s="3">
        <f t="shared" ca="1" si="3"/>
        <v>11.742465753424657</v>
      </c>
      <c r="I40" s="1">
        <v>42652</v>
      </c>
      <c r="J40" s="5">
        <f t="shared" si="4"/>
        <v>2016</v>
      </c>
      <c r="K40" s="5">
        <f t="shared" si="5"/>
        <v>10</v>
      </c>
      <c r="L40" s="5">
        <f t="shared" si="6"/>
        <v>9</v>
      </c>
      <c r="M40" s="1"/>
      <c r="N40" s="2" t="s">
        <v>72</v>
      </c>
      <c r="O40" s="2" t="s">
        <v>153</v>
      </c>
      <c r="P40" s="1" t="str">
        <f t="shared" si="7"/>
        <v>02</v>
      </c>
      <c r="Q40" s="5" t="str">
        <f t="shared" si="8"/>
        <v>2793</v>
      </c>
      <c r="R40" t="str">
        <f t="shared" si="9"/>
        <v>North</v>
      </c>
      <c r="S40">
        <f t="shared" si="10"/>
        <v>5</v>
      </c>
    </row>
    <row r="45" spans="1:19" ht="15.75" x14ac:dyDescent="0.25">
      <c r="G45" s="18"/>
      <c r="H45" s="1">
        <v>35917</v>
      </c>
      <c r="I45" s="1">
        <v>29433</v>
      </c>
      <c r="J45" s="3">
        <f>YEARFRAC(H45,I45)</f>
        <v>17.755555555555556</v>
      </c>
      <c r="L45" s="1">
        <v>42841</v>
      </c>
    </row>
    <row r="46" spans="1:19" x14ac:dyDescent="0.25">
      <c r="L46" s="1">
        <v>43100</v>
      </c>
      <c r="M46" s="3">
        <f>YEARFRAC(L45,L46)</f>
        <v>0.70833333333333337</v>
      </c>
      <c r="N46" s="3">
        <f>1-M46</f>
        <v>0.29166666666666663</v>
      </c>
    </row>
  </sheetData>
  <sortState xmlns:xlrd2="http://schemas.microsoft.com/office/spreadsheetml/2017/richdata2" ref="A6:Q40">
    <sortCondition ref="B8"/>
  </sortState>
  <pageMargins left="0.7" right="0.7" top="0.75" bottom="0.75" header="0.3" footer="0.3"/>
  <pageSetup paperSize="9" orientation="portrait" horizontalDpi="75" verticalDpi="7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Russell Tito</cp:lastModifiedBy>
  <dcterms:created xsi:type="dcterms:W3CDTF">2017-06-15T06:51:11Z</dcterms:created>
  <dcterms:modified xsi:type="dcterms:W3CDTF">2026-09-30T23:50:01Z</dcterms:modified>
</cp:coreProperties>
</file>