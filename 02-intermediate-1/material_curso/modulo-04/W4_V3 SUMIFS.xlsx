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"/>
    </mc:Choice>
  </mc:AlternateContent>
  <xr:revisionPtr revIDLastSave="0" documentId="13_ncr:1_{9EE51EF2-3673-4776-A3D0-0AC9A75556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  <sheet name="Sheet1" sheetId="11" r:id="rId3"/>
  </sheets>
  <definedNames>
    <definedName name="_xlnm._FilterDatabase" localSheetId="0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0" l="1"/>
  <c r="C42" i="10"/>
  <c r="B38" i="10"/>
  <c r="K5" i="11" l="1"/>
  <c r="B35" i="10"/>
  <c r="B19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21" i="10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29" i="10"/>
  <c r="E29" i="10"/>
  <c r="F29" i="10"/>
  <c r="D30" i="10"/>
  <c r="E30" i="10"/>
  <c r="F30" i="10"/>
  <c r="D31" i="10"/>
  <c r="E31" i="10"/>
  <c r="F31" i="10"/>
  <c r="D32" i="10"/>
  <c r="E32" i="10"/>
  <c r="F32" i="10"/>
  <c r="D33" i="10"/>
  <c r="E33" i="10"/>
  <c r="F33" i="10"/>
  <c r="D34" i="10"/>
  <c r="E34" i="10"/>
  <c r="F34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21" i="10"/>
  <c r="B7" i="10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B39" i="10"/>
  <c r="B41" i="10"/>
  <c r="D38" i="10"/>
  <c r="D39" i="10"/>
  <c r="D40" i="10"/>
  <c r="D41" i="10"/>
  <c r="D42" i="10"/>
  <c r="B40" i="10"/>
  <c r="B42" i="10"/>
  <c r="B5" i="10"/>
  <c r="B17" i="10"/>
  <c r="B12" i="10"/>
  <c r="B13" i="10"/>
  <c r="B14" i="10"/>
  <c r="B11" i="10"/>
  <c r="B6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E42" i="10" l="1"/>
  <c r="E40" i="10"/>
  <c r="E39" i="10"/>
  <c r="E41" i="10"/>
</calcChain>
</file>

<file path=xl/sharedStrings.xml><?xml version="1.0" encoding="utf-8"?>
<sst xmlns="http://schemas.openxmlformats.org/spreadsheetml/2006/main" count="12534" uniqueCount="1968">
  <si>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</si>
  <si>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</si>
  <si>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</si>
  <si>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</si>
  <si>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</si>
  <si>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</si>
  <si>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</si>
  <si>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</si>
  <si>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</si>
  <si>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</si>
  <si>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</si>
  <si>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</si>
  <si>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</si>
  <si>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</si>
  <si>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</si>
  <si>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</si>
  <si>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</si>
  <si>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</si>
  <si>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</si>
  <si>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</si>
  <si>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</si>
  <si>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</si>
  <si>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</si>
  <si>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</si>
  <si>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</si>
  <si>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</si>
  <si>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</si>
  <si>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</si>
  <si>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</si>
  <si>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</si>
  <si>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</si>
  <si>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</si>
  <si>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</si>
  <si>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</si>
  <si>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</si>
  <si>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</si>
  <si>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</si>
  <si>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</si>
  <si>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</si>
  <si>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</si>
  <si>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</si>
  <si>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</si>
  <si>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</si>
  <si>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</si>
  <si>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</si>
  <si>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</si>
  <si>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</si>
  <si>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</si>
  <si>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</si>
  <si>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</si>
  <si>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</si>
  <si>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</si>
  <si>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</si>
  <si>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</si>
  <si>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</si>
  <si>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</si>
  <si>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</si>
  <si>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</si>
  <si>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</si>
  <si>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</si>
  <si>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</si>
  <si>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</si>
  <si>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</si>
  <si>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</si>
  <si>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</si>
  <si>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</si>
  <si>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</si>
  <si>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</si>
  <si>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</si>
  <si>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</si>
  <si>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</si>
  <si>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</si>
  <si>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</si>
  <si>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</si>
  <si>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</si>
  <si>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</si>
  <si>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</si>
  <si>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</si>
  <si>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</si>
  <si>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</si>
  <si>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</si>
  <si>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</si>
  <si>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</si>
  <si>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</si>
  <si>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</si>
  <si>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</si>
  <si>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</si>
  <si>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</si>
  <si>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</si>
  <si>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</si>
  <si>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</si>
  <si>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</si>
  <si>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</si>
  <si>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</si>
  <si>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</si>
  <si>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</si>
  <si>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</si>
  <si>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</si>
  <si>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</si>
  <si>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</si>
  <si>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</si>
  <si>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</si>
  <si>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</si>
  <si>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</si>
  <si>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</si>
  <si>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</si>
  <si>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</si>
  <si>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</si>
  <si>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</si>
  <si>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</si>
  <si>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</si>
  <si>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</si>
  <si>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</si>
  <si>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</si>
  <si>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</si>
  <si>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</si>
  <si>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</si>
  <si>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</si>
  <si>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</si>
  <si>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</si>
  <si>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</si>
  <si>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</si>
  <si>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</si>
  <si>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</si>
  <si>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</si>
  <si>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</si>
  <si>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</si>
  <si>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</si>
  <si>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</si>
  <si>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</si>
  <si>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</si>
  <si>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</si>
  <si>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</si>
  <si>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</si>
  <si>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</si>
  <si>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</si>
  <si>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</si>
  <si>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</si>
  <si>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</si>
  <si>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</si>
  <si>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</si>
  <si>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</si>
  <si>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</si>
  <si>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</si>
  <si>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</si>
  <si>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</si>
  <si>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</si>
  <si>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</si>
  <si>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</si>
  <si>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</si>
  <si>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</si>
  <si>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</si>
  <si>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</si>
  <si>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</si>
  <si>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</si>
  <si>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</si>
  <si>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</si>
  <si>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</si>
  <si>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</si>
  <si>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</si>
  <si>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</si>
  <si>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</si>
  <si>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</si>
  <si>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</si>
  <si>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</si>
  <si>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</si>
  <si>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</si>
  <si>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</si>
  <si>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</si>
  <si>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</si>
  <si>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</si>
  <si>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</si>
  <si>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</si>
  <si>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</si>
  <si>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</si>
  <si>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</si>
  <si>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</si>
  <si>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</si>
  <si>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</si>
  <si>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</si>
  <si>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</si>
  <si>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</si>
  <si>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</si>
  <si>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</si>
  <si>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</si>
  <si>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</si>
  <si>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</si>
  <si>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</si>
  <si>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</si>
  <si>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</si>
  <si>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</si>
  <si>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</si>
  <si>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</si>
  <si>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</si>
  <si>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</si>
  <si>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</si>
  <si>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</si>
  <si>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</si>
  <si>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</si>
  <si>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</si>
  <si>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</si>
  <si>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</si>
  <si>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</si>
  <si>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</si>
  <si>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</si>
  <si>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</si>
  <si>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</si>
  <si>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</si>
  <si>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</si>
  <si>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</si>
  <si>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</si>
  <si>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</si>
  <si>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</si>
  <si>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</si>
  <si>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</si>
  <si>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</si>
  <si>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</si>
  <si>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</si>
  <si>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</si>
  <si>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</si>
  <si>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</si>
  <si>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</si>
  <si>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</si>
  <si>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</si>
  <si>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</si>
  <si>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</si>
  <si>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</si>
  <si>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</si>
  <si>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</si>
  <si>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</si>
  <si>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</si>
  <si>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</si>
  <si>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</si>
  <si>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</si>
  <si>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</si>
  <si>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</si>
  <si>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</si>
  <si>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</si>
  <si>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</si>
  <si>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</si>
  <si>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</si>
  <si>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</si>
  <si>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</si>
  <si>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</si>
  <si>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</si>
  <si>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</si>
  <si>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</si>
  <si>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</si>
  <si>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</si>
  <si>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</si>
  <si>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</si>
  <si>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</si>
  <si>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</si>
  <si>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</si>
  <si>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</si>
  <si>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</si>
  <si>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</si>
  <si>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</si>
  <si>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</si>
  <si>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</si>
  <si>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</si>
  <si>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</si>
  <si>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</si>
  <si>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</si>
  <si>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</si>
  <si>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</si>
  <si>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</si>
  <si>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</si>
  <si>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</si>
  <si>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</si>
  <si>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</si>
  <si>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</si>
  <si>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</si>
  <si>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</si>
  <si>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</si>
  <si>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</si>
  <si>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</si>
  <si>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</si>
  <si>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</si>
  <si>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</si>
  <si>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</si>
  <si>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</si>
  <si>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</si>
  <si>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</si>
  <si>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</si>
  <si>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</si>
  <si>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</si>
  <si>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</si>
  <si>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</si>
  <si>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</si>
  <si>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</si>
  <si>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</si>
  <si>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</si>
  <si>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</si>
  <si>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</si>
  <si>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</si>
  <si>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</si>
  <si>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</si>
  <si>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</si>
  <si>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</si>
  <si>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</si>
  <si>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</si>
  <si>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</si>
  <si>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</si>
  <si>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</si>
  <si>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</si>
  <si>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</si>
  <si>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</si>
  <si>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</si>
  <si>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</si>
  <si>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</si>
  <si>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</si>
  <si>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</si>
  <si>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</si>
  <si>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</si>
  <si>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</si>
  <si>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</si>
  <si>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</si>
  <si>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</si>
  <si>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</si>
  <si>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</si>
  <si>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</si>
  <si>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</si>
  <si>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</si>
  <si>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</si>
  <si>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</si>
  <si>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</si>
  <si>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</si>
  <si>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</si>
  <si>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</si>
  <si>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</si>
  <si>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</si>
  <si>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</si>
  <si>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</si>
  <si>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</si>
  <si>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</si>
  <si>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</si>
  <si>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</si>
  <si>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</si>
  <si>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</si>
  <si>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</si>
  <si>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</si>
  <si>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</si>
  <si>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</si>
  <si>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</si>
  <si>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</si>
  <si>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</si>
  <si>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</si>
  <si>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</si>
  <si>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</si>
  <si>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</si>
  <si>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</si>
  <si>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</si>
  <si>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</si>
  <si>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</si>
  <si>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</si>
  <si>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</si>
  <si>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</si>
  <si>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</si>
  <si>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</si>
  <si>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</si>
  <si>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</si>
  <si>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</si>
  <si>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</si>
  <si>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</si>
  <si>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</si>
  <si>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</si>
  <si>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</si>
  <si>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</si>
  <si>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</si>
  <si>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</si>
  <si>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</si>
  <si>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</si>
  <si>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</si>
  <si>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</si>
  <si>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</si>
  <si>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</si>
  <si>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</si>
  <si>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</si>
  <si>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</si>
  <si>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</si>
  <si>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</si>
  <si>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</si>
  <si>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</si>
  <si>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</si>
  <si>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</si>
  <si>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</si>
  <si>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</si>
  <si>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</si>
  <si>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</si>
  <si>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</si>
  <si>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</si>
  <si>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</si>
  <si>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</si>
  <si>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</si>
  <si>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</si>
  <si>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</si>
  <si>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</si>
  <si>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</si>
  <si>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</si>
  <si>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</si>
  <si>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</si>
  <si>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</si>
  <si>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</si>
  <si>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</si>
  <si>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</si>
  <si>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</si>
  <si>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</si>
  <si>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</si>
  <si>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</si>
  <si>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</si>
  <si>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</si>
  <si>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</si>
  <si>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</si>
  <si>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</si>
  <si>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</si>
  <si>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</si>
  <si>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</si>
  <si>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</si>
  <si>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</si>
  <si>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</si>
  <si>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</si>
  <si>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</si>
  <si>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</si>
  <si>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</si>
  <si>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</si>
  <si>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</si>
  <si>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</si>
  <si>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</si>
  <si>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</si>
  <si>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</si>
  <si>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</si>
  <si>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</si>
  <si>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</si>
  <si>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</si>
  <si>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</si>
  <si>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</si>
  <si>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</si>
  <si>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</si>
  <si>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</si>
  <si>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</si>
  <si>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</si>
  <si>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</si>
  <si>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</si>
  <si>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</si>
  <si>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</si>
  <si>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</si>
  <si>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</si>
  <si>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</si>
  <si>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</si>
  <si>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</si>
  <si>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</si>
  <si>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</si>
  <si>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</si>
  <si>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</si>
  <si>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</si>
  <si>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</si>
  <si>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</si>
  <si>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</si>
  <si>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</si>
  <si>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</si>
  <si>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</si>
  <si>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</si>
  <si>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</si>
  <si>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</si>
  <si>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</si>
  <si>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</si>
  <si>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</si>
  <si>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</si>
  <si>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</si>
  <si>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</si>
  <si>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</si>
  <si>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</si>
  <si>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</si>
  <si>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</si>
  <si>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</si>
  <si>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</si>
  <si>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</si>
  <si>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</si>
  <si>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</si>
  <si>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</si>
  <si>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</si>
  <si>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</si>
  <si>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</si>
  <si>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</si>
  <si>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</si>
  <si>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</si>
  <si>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</si>
  <si>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</si>
  <si>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</si>
  <si>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</si>
  <si>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</si>
  <si>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</si>
  <si>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</si>
  <si>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</si>
  <si>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</si>
  <si>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</si>
  <si>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</si>
  <si>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</si>
  <si>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</si>
  <si>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</si>
  <si>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</si>
  <si>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</si>
  <si>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</si>
  <si>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</si>
  <si>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</si>
  <si>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</si>
  <si>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</si>
  <si>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</si>
  <si>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</si>
  <si>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</si>
  <si>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</si>
  <si>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</si>
  <si>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</si>
  <si>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</si>
  <si>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</si>
  <si>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</si>
  <si>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</si>
  <si>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</si>
  <si>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</si>
  <si>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</si>
  <si>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</si>
  <si>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</si>
  <si>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</si>
  <si>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</si>
  <si>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</si>
  <si>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</si>
  <si>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</si>
  <si>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</si>
  <si>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</si>
  <si>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</si>
  <si>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</si>
  <si>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</si>
  <si>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</si>
  <si>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</si>
  <si>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</si>
  <si>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</si>
  <si>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</si>
  <si>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</si>
  <si>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</si>
  <si>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</si>
  <si>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</si>
  <si>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</si>
  <si>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</si>
  <si>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</si>
  <si>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</si>
  <si>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</si>
  <si>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</si>
  <si>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</si>
  <si>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</si>
  <si>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</si>
  <si>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</si>
  <si>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</si>
  <si>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</si>
  <si>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</si>
  <si>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</si>
  <si>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</si>
  <si>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</si>
  <si>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</si>
  <si>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</si>
  <si>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</si>
  <si>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</si>
  <si>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</si>
  <si>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</si>
  <si>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</si>
  <si>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</si>
  <si>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</si>
  <si>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</si>
  <si>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</si>
  <si>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</si>
  <si>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</si>
  <si>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</si>
  <si>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</si>
  <si>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</si>
  <si>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</si>
  <si>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</si>
  <si>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</si>
  <si>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</si>
  <si>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</si>
  <si>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</si>
  <si>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</si>
  <si>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</si>
  <si>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</si>
  <si>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</si>
  <si>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</si>
  <si>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</si>
  <si>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</si>
  <si>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</si>
  <si>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</si>
  <si>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</si>
  <si>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</si>
  <si>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</si>
  <si>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</si>
  <si>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</si>
  <si>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</si>
  <si>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</si>
  <si>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</si>
  <si>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</si>
  <si>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</si>
  <si>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</si>
  <si>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</si>
  <si>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</si>
  <si>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</si>
  <si>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</si>
  <si>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</si>
  <si>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</si>
  <si>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</si>
  <si>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</si>
  <si>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</si>
  <si>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</si>
  <si>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</si>
  <si>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</si>
  <si>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</si>
  <si>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</si>
  <si>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</si>
  <si>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</si>
  <si>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</si>
  <si>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</si>
  <si>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</si>
  <si>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</si>
  <si>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</si>
  <si>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</si>
  <si>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</si>
  <si>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</si>
  <si>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</si>
  <si>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</si>
  <si>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</si>
  <si>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</si>
  <si>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</si>
  <si>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</si>
  <si>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</si>
  <si>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</si>
  <si>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</si>
  <si>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</si>
  <si>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</si>
  <si>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</si>
  <si>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</si>
  <si>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</si>
  <si>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</si>
  <si>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</si>
  <si>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</si>
  <si>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</si>
  <si>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</si>
  <si>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</si>
  <si>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</si>
  <si>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</si>
  <si>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</si>
  <si>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</si>
  <si>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</si>
  <si>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</si>
  <si>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</si>
  <si>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</si>
  <si>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</si>
  <si>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</si>
  <si>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</si>
  <si>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</si>
  <si>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</si>
  <si>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</si>
  <si>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</si>
  <si>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</si>
  <si>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</si>
  <si>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</si>
  <si>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</si>
  <si>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</si>
  <si>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</si>
  <si>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</si>
  <si>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</si>
  <si>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</si>
  <si>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</si>
  <si>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</si>
  <si>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</si>
  <si>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</si>
  <si>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</si>
  <si>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</si>
  <si>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</si>
  <si>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</si>
  <si>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</si>
  <si>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</si>
  <si>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</si>
  <si>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</si>
  <si>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</si>
  <si>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</si>
  <si>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</si>
  <si>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</si>
  <si>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</si>
  <si>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</si>
  <si>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</si>
  <si>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</si>
  <si>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</si>
  <si>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</si>
  <si>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</si>
  <si>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</si>
  <si>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</si>
  <si>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</si>
  <si>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</si>
  <si>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</si>
  <si>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</si>
  <si>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</si>
  <si>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</si>
  <si>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</si>
  <si>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</si>
  <si>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</si>
  <si>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</si>
  <si>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</si>
  <si>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</si>
  <si>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</si>
  <si>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</si>
  <si>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</si>
  <si>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</si>
  <si>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</si>
  <si>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</si>
  <si>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</si>
  <si>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</si>
  <si>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</si>
  <si>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</si>
  <si>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</si>
  <si>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</si>
  <si>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</si>
  <si>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</si>
  <si>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</si>
  <si>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</si>
  <si>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</si>
  <si>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</si>
  <si>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</si>
  <si>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</si>
  <si>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</si>
  <si>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</si>
  <si>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</si>
  <si>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</si>
  <si>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</si>
  <si>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</si>
  <si>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</si>
  <si>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</si>
  <si>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</si>
  <si>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</si>
  <si>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</si>
  <si>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</si>
  <si>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</si>
  <si>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</si>
  <si>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</si>
  <si>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</si>
  <si>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</si>
  <si>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</si>
  <si>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</si>
  <si>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</si>
  <si>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</si>
  <si>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</si>
  <si>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</si>
  <si>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</si>
  <si>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</si>
  <si>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</si>
  <si>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</si>
  <si>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</si>
  <si>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</si>
  <si>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</si>
  <si>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</si>
  <si>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</si>
  <si>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</si>
  <si>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</si>
  <si>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</si>
  <si>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</si>
  <si>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</si>
  <si>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</si>
  <si>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</si>
  <si>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</si>
  <si>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</si>
  <si>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</si>
  <si>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</si>
  <si>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</si>
  <si>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</si>
  <si>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</si>
  <si>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</si>
  <si>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</si>
  <si>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</si>
  <si>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</si>
  <si>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</si>
  <si>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</si>
  <si>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</si>
  <si>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</si>
  <si>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</si>
  <si>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</si>
  <si>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</si>
  <si>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</si>
  <si>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</si>
  <si>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</si>
  <si>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</si>
  <si>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</si>
  <si>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</si>
  <si>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</si>
  <si>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</si>
  <si>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</si>
  <si>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</si>
  <si>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</si>
  <si>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</si>
  <si>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</si>
  <si>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</si>
  <si>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</si>
  <si>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</si>
  <si>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</si>
  <si>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</si>
  <si>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</si>
  <si>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</si>
  <si>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</si>
  <si>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</si>
  <si>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</si>
  <si>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</si>
  <si>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</si>
  <si>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</si>
  <si>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</si>
  <si>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</si>
  <si>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</si>
  <si>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</si>
  <si>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</si>
  <si>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</si>
  <si>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</si>
  <si>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</si>
  <si>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</si>
  <si>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</si>
  <si>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</si>
  <si>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</si>
  <si>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</si>
  <si>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</si>
  <si>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</si>
  <si>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</si>
  <si>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</si>
  <si>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</si>
  <si>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</si>
  <si>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</si>
  <si>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</si>
  <si>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</si>
  <si>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</si>
  <si>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</si>
  <si>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</si>
  <si>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</si>
  <si>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</si>
  <si>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</si>
  <si>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</si>
  <si>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</si>
  <si>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</si>
  <si>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</si>
  <si>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</si>
  <si>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</si>
  <si>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</si>
  <si>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</si>
  <si>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</si>
  <si>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</si>
  <si>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</si>
  <si>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</si>
  <si>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</si>
  <si>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</si>
  <si>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</si>
  <si>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</si>
  <si>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</si>
  <si>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</si>
  <si>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</si>
  <si>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</si>
  <si>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</si>
  <si>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</si>
  <si>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</si>
  <si>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</si>
  <si>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</si>
  <si>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</si>
  <si>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</si>
  <si>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</si>
  <si>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</si>
  <si>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</si>
  <si>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</si>
  <si>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</si>
  <si>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</si>
  <si>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</si>
  <si>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</si>
  <si>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</si>
  <si>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</si>
  <si>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</si>
  <si>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</si>
  <si>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</si>
  <si>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</si>
  <si>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</si>
  <si>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</si>
  <si>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</si>
  <si>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</si>
  <si>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</si>
  <si>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</si>
  <si>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</si>
  <si>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</si>
  <si>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</si>
  <si>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</si>
  <si>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</si>
  <si>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</si>
  <si>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</si>
  <si>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</si>
  <si>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</si>
  <si>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</si>
  <si>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</si>
  <si>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</si>
  <si>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</si>
  <si>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</si>
  <si>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</si>
  <si>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</si>
  <si>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</si>
  <si>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</si>
  <si>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</si>
  <si>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</si>
  <si>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</si>
  <si>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</si>
  <si>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</si>
  <si>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</si>
  <si>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</si>
  <si>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</si>
  <si>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</si>
  <si>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</si>
  <si>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</si>
  <si>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</si>
  <si>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</si>
  <si>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</si>
  <si>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</si>
  <si>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</si>
  <si>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</si>
  <si>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</si>
  <si>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</si>
  <si>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</si>
  <si>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</si>
  <si>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</si>
  <si>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</si>
  <si>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</si>
  <si>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</si>
  <si>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</si>
  <si>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</si>
  <si>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</si>
  <si>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</si>
  <si>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</si>
  <si>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</si>
  <si>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</si>
  <si>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</si>
  <si>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</si>
  <si>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</si>
  <si>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</si>
  <si>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</si>
  <si>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</si>
  <si>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</si>
  <si>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</si>
  <si>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</si>
  <si>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</si>
  <si>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</si>
  <si>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</si>
  <si>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</si>
  <si>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</si>
  <si>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</si>
  <si>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</si>
  <si>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</si>
  <si>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</si>
  <si>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</si>
  <si>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</si>
  <si>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</si>
  <si>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</si>
  <si>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</si>
  <si>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</si>
  <si>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</si>
  <si>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</si>
  <si>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</si>
  <si>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</si>
  <si>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</si>
  <si>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</si>
  <si>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</si>
  <si>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</si>
  <si>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</si>
  <si>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</si>
  <si>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</si>
  <si>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</si>
  <si>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</si>
  <si>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</si>
  <si>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</si>
  <si>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</si>
  <si>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</si>
  <si>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</si>
  <si>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</si>
  <si>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</si>
  <si>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</si>
  <si>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</si>
  <si>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</si>
  <si>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</si>
  <si>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</si>
  <si>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</si>
  <si>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</si>
  <si>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</si>
  <si>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</si>
  <si>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</si>
  <si>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</si>
  <si>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</si>
  <si>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</si>
  <si>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</si>
  <si>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</si>
  <si>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</si>
  <si>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</si>
  <si>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</si>
  <si>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</si>
  <si>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</si>
  <si>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</si>
  <si>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</si>
  <si>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</si>
  <si>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</si>
  <si>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</si>
  <si>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</si>
  <si>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</si>
  <si>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</si>
  <si>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</si>
  <si>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</si>
  <si>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</si>
  <si>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</si>
  <si>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</si>
  <si>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</si>
  <si>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</si>
  <si>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</si>
  <si>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</si>
  <si>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</si>
  <si>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</si>
  <si>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</si>
  <si>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</si>
  <si>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</si>
  <si>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</si>
  <si>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</si>
  <si>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</si>
  <si>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</si>
  <si>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</si>
  <si>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</si>
  <si>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</si>
  <si>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</si>
  <si>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</si>
  <si>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</si>
  <si>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</si>
  <si>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</si>
  <si>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</si>
  <si>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</si>
  <si>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</si>
  <si>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</si>
  <si>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</si>
  <si>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</si>
  <si>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</si>
  <si>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</si>
  <si>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</si>
  <si>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</si>
  <si>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</si>
  <si>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</si>
  <si>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</si>
  <si>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</si>
  <si>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</si>
  <si>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</si>
  <si>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</si>
  <si>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</si>
  <si>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</si>
  <si>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</si>
  <si>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</si>
  <si>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</si>
  <si>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</si>
  <si>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</si>
  <si>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</si>
  <si>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</si>
  <si>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</si>
  <si>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</si>
  <si>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</si>
  <si>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</si>
  <si>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</si>
  <si>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</si>
  <si>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</si>
  <si>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</si>
  <si>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</si>
  <si>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</si>
  <si>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</si>
  <si>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</si>
  <si>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</si>
  <si>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</si>
  <si>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</si>
  <si>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</si>
  <si>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</si>
  <si>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</si>
  <si>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</si>
  <si>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</si>
  <si>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</si>
  <si>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</si>
  <si>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</si>
  <si>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</si>
  <si>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</si>
  <si>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</si>
  <si>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</si>
  <si>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</si>
  <si>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</si>
  <si>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</si>
  <si>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</si>
  <si>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</si>
  <si>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</si>
  <si>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</si>
  <si>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</si>
  <si>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</si>
  <si>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</si>
  <si>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</si>
  <si>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</si>
  <si>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</si>
  <si>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</si>
  <si>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</si>
  <si>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</si>
  <si>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</si>
  <si>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</si>
  <si>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</si>
  <si>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</si>
  <si>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</si>
  <si>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</si>
  <si>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</si>
  <si>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</si>
  <si>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</si>
  <si>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</si>
  <si>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</si>
  <si>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</si>
  <si>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</si>
  <si>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</si>
  <si>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</si>
  <si>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</si>
  <si>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</si>
  <si>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</si>
  <si>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</si>
  <si>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</si>
  <si>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</si>
  <si>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</si>
  <si>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</si>
  <si>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</si>
  <si>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</si>
  <si>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</si>
  <si>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</si>
  <si>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</si>
  <si>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</si>
  <si>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</si>
  <si>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</si>
  <si>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</si>
  <si>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</si>
  <si>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</si>
  <si>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</si>
  <si>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</si>
  <si>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</si>
  <si>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</si>
  <si>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</si>
  <si>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</si>
  <si>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</si>
  <si>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</si>
  <si>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</si>
  <si>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</si>
  <si>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</si>
  <si>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</si>
  <si>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</si>
  <si>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</si>
  <si>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</si>
  <si>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</si>
  <si>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</si>
  <si>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</si>
  <si>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</si>
  <si>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</si>
  <si>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</si>
  <si>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</si>
  <si>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</si>
  <si>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</si>
  <si>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</si>
  <si>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</si>
  <si>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</si>
  <si>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</si>
  <si>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</si>
  <si>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</si>
  <si>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</si>
  <si>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</si>
  <si>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</si>
  <si>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</si>
  <si>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</si>
  <si>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</si>
  <si>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</si>
  <si>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</si>
  <si>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</si>
  <si>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</si>
  <si>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</si>
  <si>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</si>
  <si>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</si>
  <si>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</si>
  <si>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</si>
  <si>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</si>
  <si>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</si>
  <si>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</si>
  <si>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</si>
  <si>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</si>
  <si>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</si>
  <si>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</si>
  <si>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</si>
  <si>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</si>
  <si>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</si>
  <si>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</si>
  <si>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</si>
  <si>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</si>
  <si>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</si>
  <si>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</si>
  <si>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</si>
  <si>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</si>
  <si>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</si>
  <si>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</si>
  <si>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</si>
  <si>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</si>
  <si>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</si>
  <si>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</si>
  <si>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</si>
  <si>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</si>
  <si>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</si>
  <si>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</si>
  <si>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</si>
  <si>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</si>
  <si>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</si>
  <si>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</si>
  <si>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</si>
  <si>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</si>
  <si>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</si>
  <si>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</si>
  <si>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</si>
  <si>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</si>
  <si>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</si>
  <si>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</si>
  <si>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</si>
  <si>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</si>
  <si>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</si>
  <si>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</si>
  <si>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</si>
  <si>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</si>
  <si>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</si>
  <si>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</si>
  <si>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</si>
  <si>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</si>
  <si>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</si>
  <si>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</si>
  <si>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</si>
  <si>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</si>
  <si>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</si>
  <si>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</si>
  <si>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</si>
  <si>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</si>
  <si>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</si>
  <si>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</si>
  <si>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</si>
  <si>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</si>
  <si>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</si>
  <si>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</si>
  <si>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</si>
  <si>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</si>
  <si>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</si>
  <si>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</si>
  <si>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</si>
  <si>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</si>
  <si>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</si>
  <si>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</si>
  <si>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</si>
  <si>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</si>
  <si>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</si>
  <si>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</si>
  <si>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</si>
  <si>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</si>
  <si>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</si>
  <si>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</si>
  <si>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</si>
  <si>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</si>
  <si>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</si>
  <si>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</si>
  <si>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</si>
  <si>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</si>
  <si>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</si>
  <si>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</si>
  <si>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</si>
  <si>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</si>
  <si>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</si>
  <si>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</si>
  <si>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</si>
  <si>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</si>
  <si>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</si>
  <si>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</si>
  <si>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</si>
  <si>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</si>
  <si>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</si>
  <si>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</si>
  <si>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</si>
  <si>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</si>
  <si>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</si>
  <si>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</si>
  <si>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</si>
  <si>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</si>
  <si>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</si>
  <si>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</si>
  <si>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</si>
  <si>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</si>
  <si>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</si>
  <si>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</si>
  <si>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</si>
  <si>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</si>
  <si>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</si>
  <si>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</si>
  <si>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</si>
  <si>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</si>
  <si>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</si>
  <si>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</si>
  <si>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</si>
  <si>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</si>
  <si>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</si>
  <si>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</si>
  <si>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</si>
  <si>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</si>
  <si>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</si>
  <si>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</si>
  <si>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</si>
  <si>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</si>
  <si>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</si>
  <si>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</si>
  <si>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</si>
  <si>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</si>
  <si>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</si>
  <si>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</si>
  <si>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</si>
  <si>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</si>
  <si>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</si>
  <si>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</si>
  <si>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</si>
  <si>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</si>
  <si>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</si>
  <si>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</si>
  <si>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</si>
  <si>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</si>
  <si>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</si>
  <si>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</si>
  <si>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</si>
  <si>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</si>
  <si>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</si>
  <si>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</si>
  <si>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</si>
  <si>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</si>
  <si>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</si>
  <si>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</si>
  <si>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</si>
  <si>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</si>
  <si>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</si>
  <si>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</si>
  <si>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</si>
  <si>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</si>
  <si>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</si>
  <si>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</si>
  <si>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</si>
  <si>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</si>
  <si>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</si>
  <si>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</si>
  <si>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</si>
  <si>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</si>
  <si>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</si>
  <si>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</si>
  <si>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</si>
  <si>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</si>
  <si>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</si>
  <si>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</si>
  <si>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</si>
  <si>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</si>
  <si>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</si>
  <si>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</si>
  <si>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</si>
  <si>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</si>
  <si>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</si>
  <si>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</si>
  <si>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</si>
  <si>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</si>
  <si>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</si>
  <si>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</si>
  <si>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</si>
  <si>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</si>
  <si>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</si>
  <si>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</si>
  <si>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</si>
  <si>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</si>
  <si>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</si>
  <si>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</si>
  <si>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</si>
  <si>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</si>
  <si>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</si>
  <si>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</si>
  <si>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</si>
  <si>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</si>
  <si>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</si>
  <si>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</si>
  <si>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</si>
  <si>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</si>
  <si>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</si>
  <si>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</si>
  <si>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</si>
  <si>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</si>
  <si>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</si>
  <si>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</si>
  <si>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</si>
  <si>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</si>
  <si>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</si>
  <si>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</si>
  <si>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</si>
  <si>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</si>
  <si>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</si>
  <si>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</si>
  <si>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</si>
  <si>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</si>
  <si>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</si>
  <si>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</si>
  <si>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</si>
  <si>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</si>
  <si>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</si>
  <si>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</si>
  <si>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</si>
  <si>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</si>
  <si>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</si>
  <si>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</si>
  <si>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</si>
  <si>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</si>
  <si>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</si>
  <si>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</si>
  <si>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</si>
  <si>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</si>
  <si>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</si>
  <si>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</si>
  <si>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</si>
  <si>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</si>
  <si>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</si>
  <si>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</si>
  <si>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</si>
  <si>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</si>
  <si>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</si>
  <si>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</si>
  <si>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</si>
  <si>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</si>
  <si>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</si>
  <si>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</si>
  <si>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</si>
  <si>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</si>
  <si>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</si>
  <si>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</si>
  <si>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</si>
  <si>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</si>
  <si>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</si>
  <si>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</si>
  <si>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</si>
  <si>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</si>
  <si>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</si>
  <si>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</si>
  <si>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</si>
  <si>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</si>
  <si>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</si>
  <si>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</si>
  <si>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</si>
  <si>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</si>
  <si>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</si>
  <si>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</si>
  <si>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</si>
  <si>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</si>
  <si>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</si>
  <si>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</si>
  <si>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</si>
  <si>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</si>
  <si>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</si>
  <si>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</si>
  <si>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</si>
  <si>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</si>
  <si>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</si>
  <si>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</si>
  <si>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</si>
  <si>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</si>
  <si>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</si>
  <si>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</si>
  <si>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</si>
  <si>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</si>
  <si>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</si>
  <si>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</si>
  <si>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</si>
  <si>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</si>
  <si>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</si>
  <si>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</si>
  <si>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</si>
  <si>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</si>
  <si>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</si>
  <si>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</si>
  <si>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</si>
  <si>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</si>
  <si>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</si>
  <si>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</si>
  <si>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</si>
  <si>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</si>
  <si>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</si>
  <si>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</si>
  <si>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</si>
  <si>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</si>
  <si>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</si>
  <si>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</si>
  <si>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</si>
  <si>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</si>
  <si>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</si>
  <si>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</si>
  <si>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</si>
  <si>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</si>
  <si>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</si>
  <si>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</si>
  <si>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</si>
  <si>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</si>
  <si>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</si>
  <si>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</si>
  <si>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</si>
  <si>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</si>
  <si>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</si>
  <si>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</si>
  <si>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</si>
  <si>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</si>
  <si>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</si>
  <si>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</si>
  <si>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</si>
  <si>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</si>
  <si>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</si>
  <si>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</si>
  <si>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</si>
  <si>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</si>
  <si>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</si>
  <si>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</si>
  <si>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</si>
  <si>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</si>
  <si>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</si>
  <si>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</si>
  <si>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</si>
  <si>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</si>
  <si>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</si>
  <si>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</si>
  <si>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</si>
  <si>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</si>
  <si>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</si>
  <si>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</si>
  <si>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</si>
  <si>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</si>
  <si>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</si>
  <si>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</si>
  <si>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</si>
  <si>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</si>
  <si>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</si>
  <si>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</si>
  <si>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</si>
  <si>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</si>
  <si>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</si>
  <si>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</si>
  <si>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</si>
  <si>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</si>
  <si>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</si>
  <si>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</si>
  <si>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</si>
  <si>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</si>
  <si>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</si>
  <si>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</si>
  <si>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</si>
  <si>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</si>
  <si>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</si>
  <si>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</si>
  <si>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</si>
  <si>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</si>
  <si>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</si>
  <si>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</si>
  <si>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</si>
  <si>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</si>
  <si>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</si>
  <si>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</si>
  <si>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</si>
  <si>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</si>
  <si>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</si>
  <si>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</si>
  <si>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</si>
  <si>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</si>
  <si>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</si>
  <si>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</si>
  <si>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</si>
  <si>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</si>
  <si>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</si>
  <si>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</si>
  <si>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</si>
  <si>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</si>
  <si>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</si>
  <si>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</si>
  <si>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</si>
  <si>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</si>
  <si>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</si>
  <si>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</si>
  <si>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</si>
  <si>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</si>
  <si>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</si>
  <si>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</si>
  <si>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</si>
  <si>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</si>
  <si>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</si>
  <si>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</si>
  <si>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</si>
  <si>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</si>
  <si>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</si>
  <si>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</si>
  <si>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</si>
  <si>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</si>
  <si>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</si>
  <si>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</si>
  <si>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</si>
  <si>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</si>
  <si>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</si>
  <si>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</si>
  <si>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</si>
  <si>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</si>
  <si>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</si>
  <si>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</si>
  <si>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</si>
  <si>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</si>
  <si>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</si>
  <si>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</si>
  <si>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</si>
  <si>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</si>
  <si>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</si>
  <si>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</si>
  <si>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</si>
  <si>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</si>
  <si>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</si>
  <si>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</si>
  <si>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</si>
  <si>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</si>
  <si>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</si>
  <si>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</si>
  <si>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</si>
  <si>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</si>
  <si>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</si>
  <si>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</si>
  <si>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</si>
  <si>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</si>
  <si>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</si>
  <si>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</si>
  <si>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</si>
  <si>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</si>
  <si>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</si>
  <si>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</si>
  <si>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</si>
  <si>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</si>
  <si>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</si>
  <si>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</si>
  <si>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</si>
  <si>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</si>
  <si>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</si>
  <si>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</si>
  <si>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</si>
  <si>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</si>
  <si>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</si>
  <si>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</si>
  <si>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</si>
  <si>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</si>
  <si>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</si>
  <si>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</si>
  <si>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</si>
  <si>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</si>
  <si>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</si>
  <si>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</si>
  <si>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</si>
  <si>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</si>
  <si>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</si>
  <si>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</si>
  <si>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</si>
  <si>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</si>
  <si>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</si>
  <si>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</si>
  <si>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</si>
  <si>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</si>
  <si>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</si>
  <si>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</si>
  <si>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</si>
  <si>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</si>
  <si>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</si>
  <si>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</si>
  <si>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</si>
  <si>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</si>
  <si>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</si>
  <si>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</si>
  <si>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</si>
  <si>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</si>
  <si>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</si>
  <si>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</si>
  <si>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</si>
  <si>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</si>
  <si>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</si>
  <si>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</si>
  <si>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</si>
  <si>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</si>
  <si>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</si>
  <si>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</si>
  <si>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</si>
  <si>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</si>
  <si>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</si>
  <si>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</si>
  <si>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</si>
  <si>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</si>
  <si>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</si>
  <si>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</si>
  <si>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</si>
  <si>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</si>
  <si>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</si>
  <si>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</si>
  <si>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</si>
  <si>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</si>
  <si>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</si>
  <si>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</si>
  <si>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</si>
  <si>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</si>
  <si>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</si>
  <si>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</si>
  <si>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</si>
  <si>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</si>
  <si>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</si>
  <si>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</si>
  <si>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</si>
  <si>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</si>
  <si>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</si>
  <si>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</si>
  <si>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</si>
  <si>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</si>
  <si>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</si>
  <si>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</si>
  <si>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</si>
  <si>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</si>
  <si>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</si>
  <si>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</si>
  <si>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</si>
  <si>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</si>
  <si>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</si>
  <si>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</si>
  <si>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</si>
  <si>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</si>
  <si>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</si>
  <si>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</si>
  <si>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</si>
  <si>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</si>
  <si>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</si>
  <si>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</si>
  <si>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</si>
  <si>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</si>
  <si>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</si>
  <si>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</si>
  <si>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</si>
  <si>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</si>
  <si>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</si>
  <si>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</si>
  <si>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</si>
  <si>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</si>
  <si>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</si>
  <si>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</si>
  <si>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</si>
  <si>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</si>
  <si>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</si>
  <si>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</si>
  <si>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</si>
  <si>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</si>
  <si>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</si>
  <si>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</si>
  <si>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</si>
  <si>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</si>
  <si>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</si>
  <si>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</si>
  <si>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</si>
  <si>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</si>
  <si>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</si>
  <si>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</si>
  <si>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</si>
  <si>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</si>
  <si>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</si>
  <si>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</si>
  <si>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</si>
  <si>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</si>
  <si>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</si>
  <si>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</si>
  <si>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</si>
  <si>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</si>
  <si>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</si>
  <si>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</si>
  <si>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</si>
  <si>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</si>
  <si>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</si>
  <si>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</si>
  <si>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</si>
  <si>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</si>
  <si>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</si>
  <si>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</si>
  <si>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</si>
  <si>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</si>
  <si>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</si>
  <si>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</si>
  <si>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</si>
  <si>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</si>
  <si>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</si>
  <si>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</si>
  <si>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</si>
  <si>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</si>
  <si>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</si>
  <si>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</si>
  <si>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</si>
  <si>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</si>
  <si>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</si>
  <si>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</si>
  <si>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</si>
  <si>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</si>
  <si>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</si>
  <si>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</si>
  <si>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</si>
  <si>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</si>
  <si>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</si>
  <si>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</si>
  <si>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</si>
  <si>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</si>
  <si>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</si>
  <si>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</si>
  <si>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</si>
  <si>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</si>
  <si>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</si>
  <si>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</si>
  <si>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</si>
  <si>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</si>
  <si>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</si>
  <si>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</si>
  <si>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</si>
  <si>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</si>
  <si>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</si>
  <si>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</si>
  <si>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</si>
  <si>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</si>
  <si>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</si>
  <si>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</si>
  <si>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</si>
  <si>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</si>
  <si>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</si>
  <si>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</si>
  <si>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</si>
  <si>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</si>
  <si>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</si>
  <si>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</si>
  <si>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</si>
  <si>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</si>
  <si>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</si>
  <si>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</si>
  <si>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</si>
  <si>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</si>
  <si>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</si>
  <si>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</si>
  <si>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</si>
  <si>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</si>
  <si>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</si>
  <si>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</si>
  <si>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</si>
  <si>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</si>
  <si>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</si>
  <si>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</si>
  <si>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</si>
  <si>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</si>
  <si>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</si>
  <si>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</si>
  <si>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</si>
  <si>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</si>
  <si>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</si>
  <si>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</si>
  <si>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</si>
  <si>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</si>
  <si>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</si>
  <si>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</si>
  <si>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</si>
  <si>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</si>
  <si>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</si>
  <si>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</si>
  <si>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</si>
  <si>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</si>
  <si>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</si>
  <si>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</si>
  <si>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</si>
  <si>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</si>
  <si>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</si>
  <si>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</si>
  <si>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</si>
  <si>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</si>
  <si>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</si>
  <si>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</si>
  <si>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</si>
  <si>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</si>
  <si>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</si>
  <si>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Number of Orders by State</t>
  </si>
  <si>
    <t>Number of Orders by Customer Type</t>
  </si>
  <si>
    <t>Sales by Account Manager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</si>
  <si>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</si>
  <si>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</si>
  <si>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</si>
  <si>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</si>
  <si>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</si>
  <si>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</si>
  <si>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</si>
  <si>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</si>
  <si>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</si>
  <si>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</si>
  <si>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</si>
  <si>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</si>
  <si>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</si>
  <si>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</si>
  <si>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</si>
  <si>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</si>
  <si>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</si>
  <si>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</si>
  <si>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</si>
  <si>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</si>
  <si>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</si>
  <si>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</si>
  <si>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</si>
  <si>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</si>
  <si>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</si>
  <si>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</si>
  <si>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</si>
  <si>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</si>
  <si>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</si>
  <si>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</si>
  <si>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</si>
  <si>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</si>
  <si>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</si>
  <si>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</si>
  <si>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</si>
  <si>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</si>
  <si>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</si>
  <si>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</si>
  <si>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</si>
  <si>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</si>
  <si>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</si>
  <si>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</si>
  <si>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</si>
  <si>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</si>
  <si>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</si>
  <si>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</si>
  <si>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</si>
  <si>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</si>
  <si>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</si>
  <si>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</si>
  <si>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</si>
  <si>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</si>
  <si>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</si>
  <si>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</si>
  <si>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</si>
  <si>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</si>
  <si>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</si>
  <si>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</si>
  <si>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</si>
  <si>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</si>
  <si>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</si>
  <si>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</si>
  <si>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</si>
  <si>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</si>
  <si>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</si>
  <si>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</si>
  <si>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</si>
  <si>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</si>
  <si>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</si>
  <si>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</si>
  <si>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</si>
  <si>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</si>
  <si>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</si>
  <si>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</si>
  <si>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</si>
  <si>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</si>
  <si>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</si>
  <si>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</si>
  <si>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</si>
  <si>
    <t>C</t>
  </si>
  <si>
    <t>b</t>
  </si>
  <si>
    <t>aa</t>
  </si>
  <si>
    <t>bb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</si>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</sst>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164" fontId="0" fillId="0" borderId="0" xfId="0" applyNumberForma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542925</xdr:colOff>
      <xdr:row>13</xdr:row>
      <xdr:rowOff>76200</xdr:rowOff>
    </xdr:from>
    <xdr:to>
      <xdr:col>20</xdr:col>
      <xdr:colOff>85725</xdr:colOff>
      <xdr:row>18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C399F9E-508D-4AD3-BD8C-0B6FBA0D02CB}"/>
            </a:ext>
          </a:extLst>
        </xdr:cNvPr>
        <xdr:cNvSpPr/>
      </xdr:nvSpPr>
      <xdr:spPr>
        <a:xfrm>
          <a:off x="13258800" y="2790825"/>
          <a:ext cx="2724150" cy="9525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=SUMIFS( Total;</a:t>
          </a:r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Account_Manager, A21 )</a:t>
          </a:r>
        </a:p>
        <a:p>
          <a:endParaRPr lang="es-419">
            <a:effectLst/>
          </a:endParaRPr>
        </a:p>
        <a:p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REFERENCIAS</a:t>
          </a:r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MIXTAS</a:t>
          </a:r>
          <a:endParaRPr lang="es-419">
            <a:effectLst/>
          </a:endParaRPr>
        </a:p>
        <a:p>
          <a:pPr algn="l"/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4"/>
  <sheetViews>
    <sheetView topLeftCell="I1" zoomScaleNormal="100" workbookViewId="0">
      <selection activeCell="O331" sqref="A5:Y1044"/>
    </sheetView>
  </sheetViews>
  <sheetFormatPr defaultColWidth="8.85546875" defaultRowHeight="15" x14ac:dyDescent="0.25"/>
  <cols>
    <col min="1" max="1" width="10" style="1" customWidth="1"/>
    <col min="2" max="2" width="13.28515625" style="1" customWidth="1"/>
    <col min="3" max="3" width="9.570312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4.85546875" style="1" customWidth="1"/>
    <col min="9" max="9" width="17.140625" style="1" customWidth="1"/>
    <col min="10" max="10" width="15" style="1" customWidth="1"/>
    <col min="11" max="11" width="27.140625" style="1" customWidth="1"/>
    <col min="12" max="12" width="17.140625" style="1" customWidth="1"/>
    <col min="13" max="13" width="16.85546875" style="1" customWidth="1"/>
    <col min="14" max="14" width="12.42578125" style="1" customWidth="1"/>
    <col min="15" max="15" width="11.28515625" style="1" customWidth="1"/>
    <col min="16" max="16" width="12" style="1" customWidth="1"/>
    <col min="17" max="18" width="12.7109375" style="1" customWidth="1"/>
    <col min="19" max="19" width="14.7109375" style="1" customWidth="1"/>
    <col min="20" max="20" width="12.140625" style="1" hidden="1" customWidth="1"/>
    <col min="21" max="22" width="10.7109375" style="1" hidden="1" customWidth="1"/>
    <col min="23" max="23" width="12.5703125" style="1" hidden="1" customWidth="1"/>
    <col min="24" max="24" width="14.42578125" style="1" hidden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/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1884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1917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1926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1931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1917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1908</v>
      </c>
      <c r="F57" s="3" t="s">
        <v>1887</v>
      </c>
      <c r="G57" s="3" t="s">
        <v>1888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1920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1934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1894</v>
      </c>
      <c r="F63" s="3" t="s">
        <v>1887</v>
      </c>
      <c r="G63" s="3" t="s">
        <v>1888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1926</v>
      </c>
      <c r="F64" s="3" t="s">
        <v>1887</v>
      </c>
      <c r="G64" s="3" t="s">
        <v>1888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1924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1912</v>
      </c>
      <c r="F84" s="3" t="s">
        <v>1887</v>
      </c>
      <c r="G84" s="3" t="s">
        <v>1888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1909</v>
      </c>
      <c r="F85" s="3" t="s">
        <v>1887</v>
      </c>
      <c r="G85" s="3" t="s">
        <v>1888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1936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1936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1935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1899</v>
      </c>
      <c r="F110" s="3" t="s">
        <v>1887</v>
      </c>
      <c r="G110" s="3" t="s">
        <v>1888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1908</v>
      </c>
      <c r="F113" s="3" t="s">
        <v>1887</v>
      </c>
      <c r="G113" s="3" t="s">
        <v>1888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1914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1915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1896</v>
      </c>
      <c r="F130" s="3" t="s">
        <v>1887</v>
      </c>
      <c r="G130" s="3" t="s">
        <v>1888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1897</v>
      </c>
      <c r="F141" s="3" t="s">
        <v>1887</v>
      </c>
      <c r="G141" s="3" t="s">
        <v>1888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1918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1900</v>
      </c>
      <c r="F151" s="3" t="s">
        <v>1887</v>
      </c>
      <c r="G151" s="3" t="s">
        <v>1888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1924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1912</v>
      </c>
      <c r="F157" s="3" t="s">
        <v>1887</v>
      </c>
      <c r="G157" s="3" t="s">
        <v>1888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1899</v>
      </c>
      <c r="F162" s="3" t="s">
        <v>1887</v>
      </c>
      <c r="G162" s="3" t="s">
        <v>1888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1918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1898</v>
      </c>
      <c r="F171" s="3" t="s">
        <v>1887</v>
      </c>
      <c r="G171" s="3" t="s">
        <v>1888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1898</v>
      </c>
      <c r="F172" s="3" t="s">
        <v>1887</v>
      </c>
      <c r="G172" s="3" t="s">
        <v>1888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1917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1906</v>
      </c>
      <c r="F187" s="3" t="s">
        <v>1887</v>
      </c>
      <c r="G187" s="3" t="s">
        <v>1888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1917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1907</v>
      </c>
      <c r="F199" s="3" t="s">
        <v>1887</v>
      </c>
      <c r="G199" s="3" t="s">
        <v>1888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1899</v>
      </c>
      <c r="F211" s="3" t="s">
        <v>1887</v>
      </c>
      <c r="G211" s="3" t="s">
        <v>1888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1939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1934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1924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1924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1928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1912</v>
      </c>
      <c r="F239" s="3" t="s">
        <v>1887</v>
      </c>
      <c r="G239" s="3" t="s">
        <v>1888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1895</v>
      </c>
      <c r="F241" s="3" t="s">
        <v>1887</v>
      </c>
      <c r="G241" s="3" t="s">
        <v>1888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1938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1917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1939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1902</v>
      </c>
      <c r="F277" s="3" t="s">
        <v>1887</v>
      </c>
      <c r="G277" s="3" t="s">
        <v>1888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1924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1913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1922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1904</v>
      </c>
      <c r="F308" s="3" t="s">
        <v>1887</v>
      </c>
      <c r="G308" s="3" t="s">
        <v>1888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1912</v>
      </c>
      <c r="F311" s="3" t="s">
        <v>1887</v>
      </c>
      <c r="G311" s="3" t="s">
        <v>1888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1899</v>
      </c>
      <c r="F313" s="3" t="s">
        <v>1887</v>
      </c>
      <c r="G313" s="3" t="s">
        <v>1888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1921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1927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1893</v>
      </c>
      <c r="F323" s="3" t="s">
        <v>1887</v>
      </c>
      <c r="G323" s="3" t="s">
        <v>1888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1926</v>
      </c>
      <c r="F329" s="3" t="s">
        <v>1887</v>
      </c>
      <c r="G329" s="3" t="s">
        <v>1888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1937</v>
      </c>
      <c r="F333" s="3" t="s">
        <v>1887</v>
      </c>
      <c r="G333" s="3" t="s">
        <v>1888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1931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1939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1899</v>
      </c>
      <c r="F353" s="3" t="s">
        <v>1887</v>
      </c>
      <c r="G353" s="3" t="s">
        <v>1888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1926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1901</v>
      </c>
      <c r="F355" s="3" t="s">
        <v>1887</v>
      </c>
      <c r="G355" s="3" t="s">
        <v>1888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1901</v>
      </c>
      <c r="F356" s="3" t="s">
        <v>1887</v>
      </c>
      <c r="G356" s="3" t="s">
        <v>1888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1935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1896</v>
      </c>
      <c r="F378" s="3" t="s">
        <v>1887</v>
      </c>
      <c r="G378" s="3" t="s">
        <v>1888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1910</v>
      </c>
      <c r="F385" s="3" t="s">
        <v>1887</v>
      </c>
      <c r="G385" s="3" t="s">
        <v>1888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1894</v>
      </c>
      <c r="F387" s="3" t="s">
        <v>1887</v>
      </c>
      <c r="G387" s="3" t="s">
        <v>1888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1894</v>
      </c>
      <c r="F388" s="3" t="s">
        <v>1887</v>
      </c>
      <c r="G388" s="3" t="s">
        <v>1888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1906</v>
      </c>
      <c r="F389" s="3" t="s">
        <v>1887</v>
      </c>
      <c r="G389" s="3" t="s">
        <v>1888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1933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1898</v>
      </c>
      <c r="F398" s="3" t="s">
        <v>1887</v>
      </c>
      <c r="G398" s="3" t="s">
        <v>1888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1892</v>
      </c>
      <c r="F401" s="3" t="s">
        <v>1887</v>
      </c>
      <c r="G401" s="3" t="s">
        <v>1888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1904</v>
      </c>
      <c r="F405" s="3" t="s">
        <v>1887</v>
      </c>
      <c r="G405" s="3" t="s">
        <v>1888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1895</v>
      </c>
      <c r="F408" s="3" t="s">
        <v>1887</v>
      </c>
      <c r="G408" s="3" t="s">
        <v>1888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1928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1930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1894</v>
      </c>
      <c r="F427" s="3" t="s">
        <v>1887</v>
      </c>
      <c r="G427" s="3" t="s">
        <v>1888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1933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1904</v>
      </c>
      <c r="F433" s="3" t="s">
        <v>1887</v>
      </c>
      <c r="G433" s="3" t="s">
        <v>1888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1901</v>
      </c>
      <c r="F436" s="3" t="s">
        <v>1887</v>
      </c>
      <c r="G436" s="3" t="s">
        <v>1888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1904</v>
      </c>
      <c r="F448" s="3" t="s">
        <v>1887</v>
      </c>
      <c r="G448" s="3" t="s">
        <v>1888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1933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1927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1930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1937</v>
      </c>
      <c r="F490" s="3" t="s">
        <v>1887</v>
      </c>
      <c r="G490" s="3" t="s">
        <v>1888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1937</v>
      </c>
      <c r="F491" s="3" t="s">
        <v>1887</v>
      </c>
      <c r="G491" s="3" t="s">
        <v>1888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1937</v>
      </c>
      <c r="F492" s="3" t="s">
        <v>1887</v>
      </c>
      <c r="G492" s="3" t="s">
        <v>1888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1901</v>
      </c>
      <c r="F499" s="3" t="s">
        <v>1887</v>
      </c>
      <c r="G499" s="3" t="s">
        <v>1888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7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1900</v>
      </c>
      <c r="F511" s="3" t="s">
        <v>1887</v>
      </c>
      <c r="G511" s="3" t="s">
        <v>1888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8" t="s">
        <v>1941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6" t="s">
        <v>1942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1898</v>
      </c>
      <c r="F517" s="3" t="s">
        <v>1887</v>
      </c>
      <c r="G517" s="3" t="s">
        <v>1888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1923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1924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1925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6" t="s">
        <v>1943</v>
      </c>
      <c r="B534" s="2">
        <v>42084</v>
      </c>
      <c r="C534" s="3" t="str">
        <f t="shared" si="48"/>
        <v>2015</v>
      </c>
      <c r="D534" s="3" t="s">
        <v>392</v>
      </c>
      <c r="E534" s="3" t="s">
        <v>1908</v>
      </c>
      <c r="F534" s="3" t="s">
        <v>1887</v>
      </c>
      <c r="G534" s="3" t="s">
        <v>1888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1929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1906</v>
      </c>
      <c r="F542" s="3" t="s">
        <v>1887</v>
      </c>
      <c r="G542" s="3" t="s">
        <v>1888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1897</v>
      </c>
      <c r="F544" s="3" t="s">
        <v>1887</v>
      </c>
      <c r="G544" s="3" t="s">
        <v>1888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1925</v>
      </c>
      <c r="F548" s="3" t="s">
        <v>1887</v>
      </c>
      <c r="G548" s="3" t="s">
        <v>1888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1927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1908</v>
      </c>
      <c r="F553" s="3" t="s">
        <v>1887</v>
      </c>
      <c r="G553" s="3" t="s">
        <v>1888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1926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6" t="s">
        <v>1944</v>
      </c>
      <c r="B560" s="2">
        <v>42120</v>
      </c>
      <c r="C560" s="3" t="str">
        <f t="shared" si="48"/>
        <v>2015</v>
      </c>
      <c r="D560" s="3" t="s">
        <v>608</v>
      </c>
      <c r="E560" s="1" t="s">
        <v>1907</v>
      </c>
      <c r="F560" s="3" t="s">
        <v>1887</v>
      </c>
      <c r="G560" s="3" t="s">
        <v>1888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1898</v>
      </c>
      <c r="F564" s="3" t="s">
        <v>1887</v>
      </c>
      <c r="G564" s="3" t="s">
        <v>1888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6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1907</v>
      </c>
      <c r="F571" s="3" t="s">
        <v>1887</v>
      </c>
      <c r="G571" s="3" t="s">
        <v>1888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6" t="s">
        <v>1945</v>
      </c>
      <c r="B572" s="2">
        <v>42135</v>
      </c>
      <c r="C572" s="3" t="str">
        <f t="shared" si="48"/>
        <v>2015</v>
      </c>
      <c r="D572" s="3" t="s">
        <v>619</v>
      </c>
      <c r="E572" s="3" t="s">
        <v>1938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6" t="s">
        <v>1946</v>
      </c>
      <c r="B573" s="2">
        <v>42135</v>
      </c>
      <c r="C573" s="3" t="str">
        <f t="shared" si="48"/>
        <v>2015</v>
      </c>
      <c r="D573" s="3" t="s">
        <v>619</v>
      </c>
      <c r="E573" s="3" t="s">
        <v>1938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6" t="s">
        <v>1947</v>
      </c>
      <c r="B579" s="2">
        <v>42142</v>
      </c>
      <c r="C579" s="3" t="str">
        <f t="shared" si="48"/>
        <v>2015</v>
      </c>
      <c r="D579" s="3" t="s">
        <v>406</v>
      </c>
      <c r="E579" s="3" t="s">
        <v>1909</v>
      </c>
      <c r="F579" s="3" t="s">
        <v>1887</v>
      </c>
      <c r="G579" s="3" t="s">
        <v>1888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1917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1907</v>
      </c>
      <c r="F586" s="3" t="s">
        <v>1887</v>
      </c>
      <c r="G586" s="3" t="s">
        <v>1888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1924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1936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1926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1931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1929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1924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1924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1929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1905</v>
      </c>
      <c r="F671" s="3" t="s">
        <v>1887</v>
      </c>
      <c r="G671" s="3" t="s">
        <v>1888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1909</v>
      </c>
      <c r="F677" s="3" t="s">
        <v>1887</v>
      </c>
      <c r="G677" s="3" t="s">
        <v>1888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1924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1939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1925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1940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1929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1924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1940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1940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1898</v>
      </c>
      <c r="F713" s="3" t="s">
        <v>1887</v>
      </c>
      <c r="G713" s="3" t="s">
        <v>1888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1936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1896</v>
      </c>
      <c r="F729" s="3" t="s">
        <v>1887</v>
      </c>
      <c r="G729" s="3" t="s">
        <v>1888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1895</v>
      </c>
      <c r="F732" s="3" t="s">
        <v>1887</v>
      </c>
      <c r="G732" s="3" t="s">
        <v>1888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1895</v>
      </c>
      <c r="F733" s="3" t="s">
        <v>1887</v>
      </c>
      <c r="G733" s="3" t="s">
        <v>1888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1897</v>
      </c>
      <c r="F737" s="3" t="s">
        <v>1887</v>
      </c>
      <c r="G737" s="3" t="s">
        <v>1888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1926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1905</v>
      </c>
      <c r="F743" s="3" t="s">
        <v>1887</v>
      </c>
      <c r="G743" s="3" t="s">
        <v>1888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1902</v>
      </c>
      <c r="F744" s="3" t="s">
        <v>1887</v>
      </c>
      <c r="G744" s="3" t="s">
        <v>1888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1902</v>
      </c>
      <c r="F745" s="3" t="s">
        <v>1887</v>
      </c>
      <c r="G745" s="3" t="s">
        <v>1888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1902</v>
      </c>
      <c r="F746" s="3" t="s">
        <v>1887</v>
      </c>
      <c r="G746" s="3" t="s">
        <v>1888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1932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6" t="s">
        <v>1950</v>
      </c>
      <c r="B750" s="2">
        <v>42386</v>
      </c>
      <c r="C750" s="3" t="str">
        <f t="shared" si="66"/>
        <v>2016</v>
      </c>
      <c r="D750" s="3" t="s">
        <v>34</v>
      </c>
      <c r="E750" s="3" t="s">
        <v>1926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1912</v>
      </c>
      <c r="F758" s="3" t="s">
        <v>1887</v>
      </c>
      <c r="G758" s="3" t="s">
        <v>1888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1903</v>
      </c>
      <c r="F760" s="3" t="s">
        <v>1887</v>
      </c>
      <c r="G760" s="3" t="s">
        <v>1888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6" t="s">
        <v>1951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6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1911</v>
      </c>
      <c r="F765" s="3" t="s">
        <v>1887</v>
      </c>
      <c r="G765" s="3" t="s">
        <v>1888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1919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1937</v>
      </c>
      <c r="F783" s="3" t="s">
        <v>1887</v>
      </c>
      <c r="G783" s="3" t="s">
        <v>1888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1918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6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1911</v>
      </c>
      <c r="F802" s="3" t="s">
        <v>1887</v>
      </c>
      <c r="G802" s="3" t="s">
        <v>1888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1899</v>
      </c>
      <c r="F811" s="3" t="s">
        <v>1887</v>
      </c>
      <c r="G811" s="3" t="s">
        <v>1888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6" t="s">
        <v>1952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1931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1935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1898</v>
      </c>
      <c r="F820" s="3" t="s">
        <v>1887</v>
      </c>
      <c r="G820" s="3" t="s">
        <v>1888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1905</v>
      </c>
      <c r="F827" s="3" t="s">
        <v>1887</v>
      </c>
      <c r="G827" s="3" t="s">
        <v>1888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1905</v>
      </c>
      <c r="F828" s="3" t="s">
        <v>1887</v>
      </c>
      <c r="G828" s="3" t="s">
        <v>1888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1909</v>
      </c>
      <c r="F836" s="3" t="s">
        <v>1887</v>
      </c>
      <c r="G836" s="3" t="s">
        <v>1888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6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1899</v>
      </c>
      <c r="F844" s="3" t="s">
        <v>1887</v>
      </c>
      <c r="G844" s="3" t="s">
        <v>1888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1908</v>
      </c>
      <c r="F846" s="3" t="s">
        <v>1887</v>
      </c>
      <c r="G846" s="3" t="s">
        <v>1888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1899</v>
      </c>
      <c r="F852" s="3" t="s">
        <v>1887</v>
      </c>
      <c r="G852" s="3" t="s">
        <v>1888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1924</v>
      </c>
      <c r="F854" s="3" t="s">
        <v>1887</v>
      </c>
      <c r="G854" s="3" t="s">
        <v>1888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1940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1898</v>
      </c>
      <c r="F858" s="3" t="s">
        <v>1887</v>
      </c>
      <c r="G858" s="3" t="s">
        <v>1888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1927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6" t="s">
        <v>1953</v>
      </c>
      <c r="B872" s="2">
        <v>42546</v>
      </c>
      <c r="C872" s="3" t="str">
        <f t="shared" si="78"/>
        <v>2016</v>
      </c>
      <c r="D872" s="3" t="s">
        <v>48</v>
      </c>
      <c r="E872" s="3" t="s">
        <v>1898</v>
      </c>
      <c r="F872" s="3" t="s">
        <v>1887</v>
      </c>
      <c r="G872" s="3" t="s">
        <v>1888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6" t="s">
        <v>1949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1911</v>
      </c>
      <c r="F874" s="3" t="s">
        <v>1887</v>
      </c>
      <c r="G874" s="3" t="s">
        <v>1888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6" t="s">
        <v>1948</v>
      </c>
      <c r="B875" s="2">
        <v>42550</v>
      </c>
      <c r="C875" s="3" t="str">
        <f t="shared" si="78"/>
        <v>2016</v>
      </c>
      <c r="D875" s="3" t="s">
        <v>438</v>
      </c>
      <c r="E875" s="3" t="s">
        <v>1911</v>
      </c>
      <c r="F875" s="3" t="s">
        <v>1887</v>
      </c>
      <c r="G875" s="3" t="s">
        <v>1888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1928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6" t="s">
        <v>1954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1910</v>
      </c>
      <c r="F888" s="3" t="s">
        <v>1887</v>
      </c>
      <c r="G888" s="3" t="s">
        <v>1888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1924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1899</v>
      </c>
      <c r="F901" s="3" t="s">
        <v>1887</v>
      </c>
      <c r="G901" s="3" t="s">
        <v>1888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1900</v>
      </c>
      <c r="F907" s="3" t="s">
        <v>1887</v>
      </c>
      <c r="G907" s="3" t="s">
        <v>1888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1900</v>
      </c>
      <c r="F908" s="3" t="s">
        <v>1887</v>
      </c>
      <c r="G908" s="3" t="s">
        <v>1888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6" t="s">
        <v>1955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6" t="s">
        <v>1956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1928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1896</v>
      </c>
      <c r="F930" s="3" t="s">
        <v>1887</v>
      </c>
      <c r="G930" s="3" t="s">
        <v>1888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1890</v>
      </c>
      <c r="F931" s="3" t="s">
        <v>1887</v>
      </c>
      <c r="G931" s="3" t="s">
        <v>1888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1891</v>
      </c>
      <c r="F932" s="3" t="s">
        <v>1887</v>
      </c>
      <c r="G932" s="3" t="s">
        <v>1888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1898</v>
      </c>
      <c r="F939" s="3" t="s">
        <v>1887</v>
      </c>
      <c r="G939" s="3" t="s">
        <v>1888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1930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6" t="s">
        <v>1957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6" t="s">
        <v>1958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1898</v>
      </c>
      <c r="F949" s="3" t="s">
        <v>1887</v>
      </c>
      <c r="G949" s="3" t="s">
        <v>1888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1906</v>
      </c>
      <c r="F967" s="3" t="s">
        <v>1887</v>
      </c>
      <c r="G967" s="3" t="s">
        <v>1888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1938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1897</v>
      </c>
      <c r="F972" s="3" t="s">
        <v>1887</v>
      </c>
      <c r="G972" s="3" t="s">
        <v>1888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1934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6" t="s">
        <v>1959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1925</v>
      </c>
      <c r="F994" s="3" t="s">
        <v>1887</v>
      </c>
      <c r="G994" s="3" t="s">
        <v>1888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1934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1918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1898</v>
      </c>
      <c r="F1002" s="3" t="s">
        <v>1887</v>
      </c>
      <c r="G1002" s="3" t="s">
        <v>1888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6" t="s">
        <v>1960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1889</v>
      </c>
      <c r="F1010" s="3" t="s">
        <v>1887</v>
      </c>
      <c r="G1010" s="3" t="s">
        <v>1888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1935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1898</v>
      </c>
      <c r="F1016" s="3" t="s">
        <v>1887</v>
      </c>
      <c r="G1016" s="3" t="s">
        <v>1888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1933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1924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1910</v>
      </c>
      <c r="F1036" s="3" t="s">
        <v>1887</v>
      </c>
      <c r="G1036" s="3" t="s">
        <v>1888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1898</v>
      </c>
      <c r="F1039" s="3" t="s">
        <v>1887</v>
      </c>
      <c r="G1039" s="3" t="s">
        <v>1888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1916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1926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</sheetData>
  <autoFilter ref="A5:Y1044" xr:uid="{00000000-0001-0000-0000-000000000000}"/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abSelected="1" topLeftCell="A10" workbookViewId="0">
      <selection activeCell="R31" sqref="R31"/>
    </sheetView>
  </sheetViews>
  <sheetFormatPr defaultRowHeight="15" x14ac:dyDescent="0.25"/>
  <cols>
    <col min="1" max="1" width="22.85546875" customWidth="1"/>
    <col min="2" max="2" width="15.28515625" customWidth="1"/>
    <col min="3" max="7" width="14.85546875" customWidth="1"/>
    <col min="8" max="8" width="14.28515625" customWidth="1"/>
    <col min="16" max="16" width="11.140625" bestFit="1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1881</v>
      </c>
      <c r="B4" s="9"/>
    </row>
    <row r="5" spans="1:26" x14ac:dyDescent="0.25">
      <c r="A5" s="3" t="s">
        <v>20</v>
      </c>
      <c r="B5" s="12">
        <f>COUNTIFS(State,A5)</f>
        <v>289</v>
      </c>
    </row>
    <row r="6" spans="1:26" x14ac:dyDescent="0.25">
      <c r="A6" s="3" t="s">
        <v>37</v>
      </c>
      <c r="B6" s="12">
        <f>COUNTIFS(State,A6)</f>
        <v>646</v>
      </c>
    </row>
    <row r="7" spans="1:26" x14ac:dyDescent="0.25">
      <c r="A7" s="3" t="s">
        <v>1888</v>
      </c>
      <c r="B7" s="12">
        <f>COUNTIFS(State,A7)</f>
        <v>104</v>
      </c>
    </row>
    <row r="10" spans="1:26" x14ac:dyDescent="0.25">
      <c r="A10" s="9" t="s">
        <v>1882</v>
      </c>
      <c r="B10" s="9"/>
    </row>
    <row r="11" spans="1:26" x14ac:dyDescent="0.25">
      <c r="A11" s="3" t="s">
        <v>21</v>
      </c>
      <c r="B11" s="12">
        <f>COUNTIFS(Customer_Type,A11)</f>
        <v>264</v>
      </c>
    </row>
    <row r="12" spans="1:26" x14ac:dyDescent="0.25">
      <c r="A12" s="3" t="s">
        <v>29</v>
      </c>
      <c r="B12" s="12">
        <f>COUNTIFS(Customer_Type,A12)</f>
        <v>177</v>
      </c>
    </row>
    <row r="13" spans="1:26" x14ac:dyDescent="0.25">
      <c r="A13" s="3" t="s">
        <v>42</v>
      </c>
      <c r="B13" s="12">
        <f>COUNTIFS(Customer_Type,A13)</f>
        <v>221</v>
      </c>
    </row>
    <row r="14" spans="1:26" x14ac:dyDescent="0.25">
      <c r="A14" s="3" t="s">
        <v>50</v>
      </c>
      <c r="B14" s="12">
        <f>COUNTIFS(Customer_Type,A14)</f>
        <v>377</v>
      </c>
    </row>
    <row r="17" spans="1:16" x14ac:dyDescent="0.25">
      <c r="A17" s="9" t="s">
        <v>1885</v>
      </c>
      <c r="B17" s="12">
        <f>COUNTIFS(Order_Quantity,"&gt;40")</f>
        <v>238</v>
      </c>
    </row>
    <row r="19" spans="1:16" x14ac:dyDescent="0.25">
      <c r="B19">
        <f>SUM(Total)</f>
        <v>1138806.9295619989</v>
      </c>
    </row>
    <row r="20" spans="1:16" x14ac:dyDescent="0.25">
      <c r="A20" s="9" t="s">
        <v>1883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1886</v>
      </c>
    </row>
    <row r="21" spans="1:16" x14ac:dyDescent="0.25">
      <c r="A21" s="3" t="s">
        <v>22</v>
      </c>
      <c r="B21" s="14">
        <f>SUMIFS(Total,Account_Manager,A21)</f>
        <v>135493.75280000002</v>
      </c>
      <c r="C21" s="14">
        <f>SUMIFS(Total,Account_Manager,$A21,Order_Year,C$20)</f>
        <v>8706.8624999999993</v>
      </c>
      <c r="D21" s="14">
        <f>SUMIFS(Total,Account_Manager,$A21,Order_Year,D$20)</f>
        <v>27899.607300000003</v>
      </c>
      <c r="E21" s="14">
        <f>SUMIFS(Total,Account_Manager,$A21,Order_Year,E$20)</f>
        <v>41877.791499999999</v>
      </c>
      <c r="F21" s="14">
        <f>SUMIFS(Total,Account_Manager,$A21,Order_Year,F$20)</f>
        <v>47802.912599999996</v>
      </c>
      <c r="P21" s="19"/>
    </row>
    <row r="22" spans="1:16" x14ac:dyDescent="0.25">
      <c r="A22" s="3" t="s">
        <v>38</v>
      </c>
      <c r="B22" s="14">
        <f>SUMIFS(Total,Account_Manager,A22)</f>
        <v>6771.1900999999989</v>
      </c>
      <c r="C22" s="14">
        <f>SUMIFS(Total,Account_Manager,$A22,Order_Year,C$20)</f>
        <v>5695.6566999999995</v>
      </c>
      <c r="D22" s="14">
        <f>SUMIFS(Total,Account_Manager,$A22,Order_Year,D$20)</f>
        <v>130.74239999999998</v>
      </c>
      <c r="E22" s="14">
        <f>SUMIFS(Total,Account_Manager,$A22,Order_Year,E$20)</f>
        <v>455.70100000000002</v>
      </c>
      <c r="F22" s="14">
        <f>SUMIFS(Total,Account_Manager,$A22,Order_Year,F$20)</f>
        <v>446.05959999999993</v>
      </c>
    </row>
    <row r="23" spans="1:16" x14ac:dyDescent="0.25">
      <c r="A23" s="3" t="s">
        <v>43</v>
      </c>
      <c r="B23" s="14">
        <f>SUMIFS(Total,Account_Manager,A23)</f>
        <v>120790.28969999996</v>
      </c>
      <c r="C23" s="14">
        <f>SUMIFS(Total,Account_Manager,$A23,Order_Year,C$20)</f>
        <v>16049.806299999998</v>
      </c>
      <c r="D23" s="14">
        <f>SUMIFS(Total,Account_Manager,$A23,Order_Year,D$20)</f>
        <v>61179.227299999999</v>
      </c>
      <c r="E23" s="14">
        <f>SUMIFS(Total,Account_Manager,$A23,Order_Year,E$20)</f>
        <v>21588.616099999999</v>
      </c>
      <c r="F23" s="14">
        <f>SUMIFS(Total,Account_Manager,$A23,Order_Year,F$20)</f>
        <v>20619.863499999999</v>
      </c>
    </row>
    <row r="24" spans="1:16" x14ac:dyDescent="0.25">
      <c r="A24" s="3" t="s">
        <v>51</v>
      </c>
      <c r="B24" s="14">
        <f>SUMIFS(Total,Account_Manager,A24)</f>
        <v>119236.70246200009</v>
      </c>
      <c r="C24" s="14">
        <f>SUMIFS(Total,Account_Manager,$A24,Order_Year,C$20)</f>
        <v>21750.561262000003</v>
      </c>
      <c r="D24" s="14">
        <f>SUMIFS(Total,Account_Manager,$A24,Order_Year,D$20)</f>
        <v>42012.128400000001</v>
      </c>
      <c r="E24" s="14">
        <f>SUMIFS(Total,Account_Manager,$A24,Order_Year,E$20)</f>
        <v>27109.998199999995</v>
      </c>
      <c r="F24" s="14">
        <f>SUMIFS(Total,Account_Manager,$A24,Order_Year,F$20)</f>
        <v>27979.720600000004</v>
      </c>
    </row>
    <row r="25" spans="1:16" x14ac:dyDescent="0.25">
      <c r="A25" s="3" t="s">
        <v>56</v>
      </c>
      <c r="B25" s="14">
        <f>SUMIFS(Total,Account_Manager,A25)</f>
        <v>64114.236599999997</v>
      </c>
      <c r="C25" s="14">
        <f>SUMIFS(Total,Account_Manager,$A25,Order_Year,C$20)</f>
        <v>7613.9438</v>
      </c>
      <c r="D25" s="14">
        <f>SUMIFS(Total,Account_Manager,$A25,Order_Year,D$20)</f>
        <v>6856.232</v>
      </c>
      <c r="E25" s="14">
        <f>SUMIFS(Total,Account_Manager,$A25,Order_Year,E$20)</f>
        <v>20874.770600000003</v>
      </c>
      <c r="F25" s="14">
        <f>SUMIFS(Total,Account_Manager,$A25,Order_Year,F$20)</f>
        <v>27226.537100000001</v>
      </c>
    </row>
    <row r="26" spans="1:16" x14ac:dyDescent="0.25">
      <c r="A26" s="3" t="s">
        <v>75</v>
      </c>
      <c r="B26" s="14">
        <f>SUMIFS(Total,Account_Manager,A26)</f>
        <v>84170.630400000024</v>
      </c>
      <c r="C26" s="14">
        <f>SUMIFS(Total,Account_Manager,$A26,Order_Year,C$20)</f>
        <v>5150.1589000000004</v>
      </c>
      <c r="D26" s="14">
        <f>SUMIFS(Total,Account_Manager,$A26,Order_Year,D$20)</f>
        <v>6707.860999999999</v>
      </c>
      <c r="E26" s="14">
        <f>SUMIFS(Total,Account_Manager,$A26,Order_Year,E$20)</f>
        <v>68219.158800000005</v>
      </c>
      <c r="F26" s="14">
        <f>SUMIFS(Total,Account_Manager,$A26,Order_Year,F$20)</f>
        <v>2807.2836999999995</v>
      </c>
    </row>
    <row r="27" spans="1:16" x14ac:dyDescent="0.25">
      <c r="A27" s="3" t="s">
        <v>79</v>
      </c>
      <c r="B27" s="14">
        <f>SUMIFS(Total,Account_Manager,A27)</f>
        <v>86080.424799999993</v>
      </c>
      <c r="C27" s="14">
        <f>SUMIFS(Total,Account_Manager,$A27,Order_Year,C$20)</f>
        <v>6351.314800000001</v>
      </c>
      <c r="D27" s="14">
        <f>SUMIFS(Total,Account_Manager,$A27,Order_Year,D$20)</f>
        <v>14097.026299999998</v>
      </c>
      <c r="E27" s="14">
        <f>SUMIFS(Total,Account_Manager,$A27,Order_Year,E$20)</f>
        <v>31907.880899999996</v>
      </c>
      <c r="F27" s="14">
        <f>SUMIFS(Total,Account_Manager,$A27,Order_Year,F$20)</f>
        <v>26818.288</v>
      </c>
    </row>
    <row r="28" spans="1:16" x14ac:dyDescent="0.25">
      <c r="A28" s="3" t="s">
        <v>83</v>
      </c>
      <c r="B28" s="14">
        <f>SUMIFS(Total,Account_Manager,A28)</f>
        <v>55738.247800000005</v>
      </c>
      <c r="C28" s="14">
        <f>SUMIFS(Total,Account_Manager,$A28,Order_Year,C$20)</f>
        <v>5187.7125999999998</v>
      </c>
      <c r="D28" s="14">
        <f>SUMIFS(Total,Account_Manager,$A28,Order_Year,D$20)</f>
        <v>33803.7598</v>
      </c>
      <c r="E28" s="14">
        <f>SUMIFS(Total,Account_Manager,$A28,Order_Year,E$20)</f>
        <v>13366.221600000001</v>
      </c>
      <c r="F28" s="14">
        <f>SUMIFS(Total,Account_Manager,$A28,Order_Year,F$20)</f>
        <v>2722.2123000000001</v>
      </c>
    </row>
    <row r="29" spans="1:16" x14ac:dyDescent="0.25">
      <c r="A29" s="3" t="s">
        <v>92</v>
      </c>
      <c r="B29" s="14">
        <f>SUMIFS(Total,Account_Manager,A29)</f>
        <v>148146.81410000002</v>
      </c>
      <c r="C29" s="14">
        <f>SUMIFS(Total,Account_Manager,$A29,Order_Year,C$20)</f>
        <v>41077.482600000003</v>
      </c>
      <c r="D29" s="14">
        <f>SUMIFS(Total,Account_Manager,$A29,Order_Year,D$20)</f>
        <v>56246.561600000001</v>
      </c>
      <c r="E29" s="14">
        <f>SUMIFS(Total,Account_Manager,$A29,Order_Year,E$20)</f>
        <v>35551.66369999999</v>
      </c>
      <c r="F29" s="14">
        <f>SUMIFS(Total,Account_Manager,$A29,Order_Year,F$20)</f>
        <v>14032.223399999999</v>
      </c>
    </row>
    <row r="30" spans="1:16" x14ac:dyDescent="0.25">
      <c r="A30" s="3" t="s">
        <v>96</v>
      </c>
      <c r="B30" s="14">
        <f>SUMIFS(Total,Account_Manager,A30)</f>
        <v>79645.753599999996</v>
      </c>
      <c r="C30" s="14">
        <f>SUMIFS(Total,Account_Manager,$A30,Order_Year,C$20)</f>
        <v>14278.113600000002</v>
      </c>
      <c r="D30" s="14">
        <f>SUMIFS(Total,Account_Manager,$A30,Order_Year,D$20)</f>
        <v>15766.073200000001</v>
      </c>
      <c r="E30" s="14">
        <f>SUMIFS(Total,Account_Manager,$A30,Order_Year,E$20)</f>
        <v>38901.419900000001</v>
      </c>
      <c r="F30" s="14">
        <f>SUMIFS(Total,Account_Manager,$A30,Order_Year,F$20)</f>
        <v>10683.4869</v>
      </c>
    </row>
    <row r="31" spans="1:16" x14ac:dyDescent="0.25">
      <c r="A31" s="3" t="s">
        <v>102</v>
      </c>
      <c r="B31" s="14">
        <f>SUMIFS(Total,Account_Manager,A31)</f>
        <v>69318.893999999986</v>
      </c>
      <c r="C31" s="14">
        <f>SUMIFS(Total,Account_Manager,$A31,Order_Year,C$20)</f>
        <v>20296.341799999998</v>
      </c>
      <c r="D31" s="14">
        <f>SUMIFS(Total,Account_Manager,$A31,Order_Year,D$20)</f>
        <v>4190.5551000000005</v>
      </c>
      <c r="E31" s="14">
        <f>SUMIFS(Total,Account_Manager,$A31,Order_Year,E$20)</f>
        <v>2993.3495999999991</v>
      </c>
      <c r="F31" s="14">
        <f>SUMIFS(Total,Account_Manager,$A31,Order_Year,F$20)</f>
        <v>41701.218699999998</v>
      </c>
    </row>
    <row r="32" spans="1:16" x14ac:dyDescent="0.25">
      <c r="A32" s="3" t="s">
        <v>124</v>
      </c>
      <c r="B32" s="14">
        <f>SUMIFS(Total,Account_Manager,A32)</f>
        <v>72189.382999999987</v>
      </c>
      <c r="C32" s="14">
        <f>SUMIFS(Total,Account_Manager,$A32,Order_Year,C$20)</f>
        <v>3991.8021999999996</v>
      </c>
      <c r="D32" s="14">
        <f>SUMIFS(Total,Account_Manager,$A32,Order_Year,D$20)</f>
        <v>36284.862799999995</v>
      </c>
      <c r="E32" s="14">
        <f>SUMIFS(Total,Account_Manager,$A32,Order_Year,E$20)</f>
        <v>21313.6908</v>
      </c>
      <c r="F32" s="14">
        <f>SUMIFS(Total,Account_Manager,$A32,Order_Year,F$20)</f>
        <v>10599.0272</v>
      </c>
    </row>
    <row r="33" spans="1:6" x14ac:dyDescent="0.25">
      <c r="A33" s="3" t="s">
        <v>142</v>
      </c>
      <c r="B33" s="14">
        <f>SUMIFS(Total,Account_Manager,A33)</f>
        <v>18350.0468</v>
      </c>
      <c r="C33" s="14">
        <f>SUMIFS(Total,Account_Manager,$A33,Order_Year,C$20)</f>
        <v>538.94219999999996</v>
      </c>
      <c r="D33" s="14">
        <f>SUMIFS(Total,Account_Manager,$A33,Order_Year,D$20)</f>
        <v>3959.5741000000007</v>
      </c>
      <c r="E33" s="14">
        <f>SUMIFS(Total,Account_Manager,$A33,Order_Year,E$20)</f>
        <v>6498.4348000000009</v>
      </c>
      <c r="F33" s="14">
        <f>SUMIFS(Total,Account_Manager,$A33,Order_Year,F$20)</f>
        <v>7353.0956999999999</v>
      </c>
    </row>
    <row r="34" spans="1:6" x14ac:dyDescent="0.25">
      <c r="A34" s="3" t="s">
        <v>153</v>
      </c>
      <c r="B34" s="14">
        <f>SUMIFS(Total,Account_Manager,A34)</f>
        <v>78760.563399999999</v>
      </c>
      <c r="C34" s="14">
        <f>SUMIFS(Total,Account_Manager,$A34,Order_Year,C$20)</f>
        <v>15062.0996</v>
      </c>
      <c r="D34" s="14">
        <f>SUMIFS(Total,Account_Manager,$A34,Order_Year,D$20)</f>
        <v>10097.448199999999</v>
      </c>
      <c r="E34" s="14">
        <f>SUMIFS(Total,Account_Manager,$A34,Order_Year,E$20)</f>
        <v>22104.2487</v>
      </c>
      <c r="F34" s="14">
        <f>SUMIFS(Total,Account_Manager,$A34,Order_Year,F$20)</f>
        <v>31496.766900000002</v>
      </c>
    </row>
    <row r="35" spans="1:6" x14ac:dyDescent="0.25">
      <c r="B35" s="19">
        <f>SUM(B21:B34)</f>
        <v>1138806.9295620001</v>
      </c>
    </row>
    <row r="37" spans="1:6" x14ac:dyDescent="0.25">
      <c r="A37" s="9" t="s">
        <v>1961</v>
      </c>
      <c r="B37" s="13" t="s">
        <v>37</v>
      </c>
      <c r="C37" s="13" t="s">
        <v>20</v>
      </c>
      <c r="D37" s="13" t="s">
        <v>1888</v>
      </c>
      <c r="E37" s="13" t="s">
        <v>1962</v>
      </c>
    </row>
    <row r="38" spans="1:6" x14ac:dyDescent="0.25">
      <c r="A38" s="15">
        <v>2013</v>
      </c>
      <c r="B38" s="12">
        <f>COUNTIFS(Order_Year,$A38,State,B$37)</f>
        <v>138</v>
      </c>
      <c r="C38" s="12">
        <f t="shared" ref="B38:D42" si="0">COUNTIFS(Order_Year,$A38,State,C$37)</f>
        <v>66</v>
      </c>
      <c r="D38" s="12">
        <f t="shared" si="0"/>
        <v>17</v>
      </c>
      <c r="E38" s="12">
        <f>SUMIFS(Total,Order_Year,A38)</f>
        <v>171750.79886199994</v>
      </c>
    </row>
    <row r="39" spans="1:6" x14ac:dyDescent="0.25">
      <c r="A39" s="15">
        <v>2014</v>
      </c>
      <c r="B39" s="12">
        <f t="shared" si="0"/>
        <v>147</v>
      </c>
      <c r="C39" s="12">
        <f t="shared" si="0"/>
        <v>70</v>
      </c>
      <c r="D39" s="12">
        <f t="shared" si="0"/>
        <v>25</v>
      </c>
      <c r="E39" s="12">
        <f>SUMIFS(Total,Order_Year,A39)</f>
        <v>319231.65950000001</v>
      </c>
    </row>
    <row r="40" spans="1:6" x14ac:dyDescent="0.25">
      <c r="A40" s="15">
        <v>2015</v>
      </c>
      <c r="B40" s="12">
        <f t="shared" si="0"/>
        <v>162</v>
      </c>
      <c r="C40" s="12">
        <f t="shared" si="0"/>
        <v>89</v>
      </c>
      <c r="D40" s="12">
        <f t="shared" si="0"/>
        <v>27</v>
      </c>
      <c r="E40" s="12">
        <f>SUMIFS(Total,Order_Year,A40)</f>
        <v>352762.94619999995</v>
      </c>
    </row>
    <row r="41" spans="1:6" x14ac:dyDescent="0.25">
      <c r="A41" s="15">
        <v>2016</v>
      </c>
      <c r="B41" s="12">
        <f t="shared" si="0"/>
        <v>181</v>
      </c>
      <c r="C41" s="12">
        <f t="shared" si="0"/>
        <v>59</v>
      </c>
      <c r="D41" s="12">
        <f t="shared" si="0"/>
        <v>33</v>
      </c>
      <c r="E41" s="12">
        <f>SUMIFS(Total,Order_Year,A41)</f>
        <v>272288.69620000001</v>
      </c>
    </row>
    <row r="42" spans="1:6" x14ac:dyDescent="0.25">
      <c r="A42" s="15">
        <v>2017</v>
      </c>
      <c r="B42" s="12">
        <f t="shared" si="0"/>
        <v>18</v>
      </c>
      <c r="C42" s="12">
        <f>COUNTIFS(Order_Year,$A42,State,C$37)</f>
        <v>5</v>
      </c>
      <c r="D42" s="12">
        <f t="shared" si="0"/>
        <v>2</v>
      </c>
      <c r="E42" s="12">
        <f>SUMIFS(Total,Order_Year,A42)</f>
        <v>22772.828800000007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9439-16DB-404C-A821-5544B3C59CC3}">
  <dimension ref="G5:K8"/>
  <sheetViews>
    <sheetView workbookViewId="0">
      <selection activeCell="K6" sqref="K6"/>
    </sheetView>
  </sheetViews>
  <sheetFormatPr defaultRowHeight="15" x14ac:dyDescent="0.25"/>
  <sheetData>
    <row r="5" spans="7:11" x14ac:dyDescent="0.25">
      <c r="G5" t="s">
        <v>1967</v>
      </c>
      <c r="H5" t="s">
        <v>1964</v>
      </c>
      <c r="I5" t="s">
        <v>1963</v>
      </c>
      <c r="K5">
        <f>SUMIFS(I6:I8,H6:H8,"aa",H6:H8,"bb")</f>
        <v>0</v>
      </c>
    </row>
    <row r="6" spans="7:11" x14ac:dyDescent="0.25">
      <c r="H6" t="s">
        <v>1965</v>
      </c>
      <c r="I6">
        <v>1</v>
      </c>
    </row>
    <row r="7" spans="7:11" x14ac:dyDescent="0.25">
      <c r="H7" t="s">
        <v>1966</v>
      </c>
      <c r="I7">
        <v>2</v>
      </c>
    </row>
    <row r="8" spans="7:11" x14ac:dyDescent="0.25">
      <c r="H8" t="s">
        <v>1965</v>
      </c>
      <c r="I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Orders</vt:lpstr>
      <vt:lpstr>Sales Dash</vt:lpstr>
      <vt:lpstr>Sheet1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2026-10-07T19:52:54Z</dcterms:modified>
</cp:coreProperties>
</file>