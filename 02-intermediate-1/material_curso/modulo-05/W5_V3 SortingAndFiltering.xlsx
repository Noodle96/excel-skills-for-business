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5\"/>
    </mc:Choice>
  </mc:AlternateContent>
  <xr:revisionPtr revIDLastSave="0" documentId="13_ncr:1_{97EF1626-561F-4D8C-B867-B6F3A01D15E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aff" sheetId="1" r:id="rId1"/>
    <sheet name="Staff (2)" sheetId="6" r:id="rId2"/>
    <sheet name="Staff (3)" sheetId="7" r:id="rId3"/>
    <sheet name="Staff (4)" sheetId="8" r:id="rId4"/>
    <sheet name="Stats" sheetId="2" r:id="rId5"/>
  </sheets>
  <definedNames>
    <definedName name="_xlnm._FilterDatabase" localSheetId="0" hidden="1">Staff!$A$4:$H$24</definedName>
    <definedName name="_xlnm._FilterDatabase" localSheetId="1" hidden="1">'Staff (2)'!$A$6:$H$26</definedName>
    <definedName name="_xlnm._FilterDatabase" localSheetId="2" hidden="1">'Staff (3)'!$A$6:$H$26</definedName>
    <definedName name="_xlnm._FilterDatabase" localSheetId="3" hidden="1">'Staff (4)'!$A$6:$H$26</definedName>
    <definedName name="Annual_Salary" localSheetId="1">'Staff (2)'!$N$6:$N$40</definedName>
    <definedName name="Annual_Salary" localSheetId="2">'Staff (3)'!$N$6:$N$40</definedName>
    <definedName name="Annual_Salary" localSheetId="3">'Staff (4)'!$N$6:$N$40</definedName>
    <definedName name="Annual_Salary">Staff!$N$4:$N$38</definedName>
    <definedName name="Date_of_Hire" localSheetId="1">'Staff (2)'!$F$6:$F$40</definedName>
    <definedName name="Date_of_Hire" localSheetId="2">'Staff (3)'!$F$6:$F$40</definedName>
    <definedName name="Date_of_Hire" localSheetId="3">'Staff (4)'!$F$6:$F$40</definedName>
    <definedName name="Date_of_Hire">Staff!$F$4:$F$38</definedName>
    <definedName name="Department" localSheetId="1">'Staff (2)'!$H$6:$H$40</definedName>
    <definedName name="Department" localSheetId="2">'Staff (3)'!$H$6:$H$40</definedName>
    <definedName name="Department" localSheetId="3">'Staff (4)'!$H$6:$H$40</definedName>
    <definedName name="Department">Staff!$H$4:$H$38</definedName>
    <definedName name="Email" localSheetId="1">'Staff (2)'!$E$6:$E$40</definedName>
    <definedName name="Email" localSheetId="2">'Staff (3)'!$E$6:$E$40</definedName>
    <definedName name="Email" localSheetId="3">'Staff (4)'!$E$6:$E$40</definedName>
    <definedName name="Email">Staff!$E$4:$E$38</definedName>
    <definedName name="Emp_ID" localSheetId="1">'Staff (2)'!$A$6:$A$40</definedName>
    <definedName name="Emp_ID" localSheetId="2">'Staff (3)'!$A$6:$A$40</definedName>
    <definedName name="Emp_ID" localSheetId="3">'Staff (4)'!$A$6:$A$40</definedName>
    <definedName name="Emp_ID">Staff!$A$4:$A$38</definedName>
    <definedName name="Extension" localSheetId="1">'Staff (2)'!$K$6:$K$40</definedName>
    <definedName name="Extension" localSheetId="2">'Staff (3)'!$K$6:$K$40</definedName>
    <definedName name="Extension" localSheetId="3">'Staff (4)'!$K$6:$K$40</definedName>
    <definedName name="Extension">Staff!$K$4:$K$38</definedName>
    <definedName name="First" localSheetId="1">'Staff (2)'!$C$6:$C$40</definedName>
    <definedName name="First" localSheetId="2">'Staff (3)'!$C$6:$C$40</definedName>
    <definedName name="First" localSheetId="3">'Staff (4)'!$C$6:$C$40</definedName>
    <definedName name="First">Staff!$C$4:$C$38</definedName>
    <definedName name="Floor" localSheetId="1">'Staff (2)'!$J$6:$J$40</definedName>
    <definedName name="Floor" localSheetId="2">'Staff (3)'!$J$6:$J$40</definedName>
    <definedName name="Floor" localSheetId="3">'Staff (4)'!$J$6:$J$40</definedName>
    <definedName name="Floor">Staff!$J$4:$J$38</definedName>
    <definedName name="Gender" localSheetId="1">'Staff (2)'!$D$6:$D$40</definedName>
    <definedName name="Gender" localSheetId="2">'Staff (3)'!$D$6:$D$40</definedName>
    <definedName name="Gender" localSheetId="3">'Staff (4)'!$D$6:$D$40</definedName>
    <definedName name="Gender">Staff!$D$4:$D$38</definedName>
    <definedName name="Last" localSheetId="1">'Staff (2)'!$B$6:$B$40</definedName>
    <definedName name="Last" localSheetId="2">'Staff (3)'!$B$6:$B$40</definedName>
    <definedName name="Last" localSheetId="3">'Staff (4)'!$B$6:$B$40</definedName>
    <definedName name="Last">Staff!$B$4:$B$38</definedName>
    <definedName name="Last_Review" localSheetId="1">'Staff (2)'!$L$6:$L$40</definedName>
    <definedName name="Last_Review" localSheetId="2">'Staff (3)'!$L$6:$L$40</definedName>
    <definedName name="Last_Review" localSheetId="3">'Staff (4)'!$L$6:$L$40</definedName>
    <definedName name="Last_Review">Staff!$L$4:$L$38</definedName>
    <definedName name="Location" localSheetId="1">'Staff (2)'!$I$6:$I$40</definedName>
    <definedName name="Location" localSheetId="2">'Staff (3)'!$I$6:$I$40</definedName>
    <definedName name="Location" localSheetId="3">'Staff (4)'!$I$6:$I$40</definedName>
    <definedName name="Location">Staff!$I$4:$I$38</definedName>
    <definedName name="Next_Review" localSheetId="1">'Staff (2)'!$M$6:$M$40</definedName>
    <definedName name="Next_Review" localSheetId="2">'Staff (3)'!$M$6:$M$40</definedName>
    <definedName name="Next_Review" localSheetId="3">'Staff (4)'!$M$6:$M$40</definedName>
    <definedName name="Next_Review">Staff!$M$4:$M$38</definedName>
    <definedName name="Pension" localSheetId="1">'Staff (2)'!$O$6:$O$40</definedName>
    <definedName name="Pension" localSheetId="2">'Staff (3)'!$O$6:$O$40</definedName>
    <definedName name="Pension" localSheetId="3">'Staff (4)'!$O$6:$O$40</definedName>
    <definedName name="Pension">Staff!$O$4:$O$38</definedName>
    <definedName name="Pension_Rate" localSheetId="1">'Staff (2)'!$P$1</definedName>
    <definedName name="Pension_Rate" localSheetId="2">'Staff (3)'!$P$1</definedName>
    <definedName name="Pension_Rate" localSheetId="3">'Staff (4)'!$P$1</definedName>
    <definedName name="Pension_Rate">Staff!$P$1</definedName>
    <definedName name="Years_Service" localSheetId="1">'Staff (2)'!$G$6:$G$40</definedName>
    <definedName name="Years_Service" localSheetId="2">'Staff (3)'!$G$6:$G$40</definedName>
    <definedName name="Years_Service" localSheetId="3">'Staff (4)'!$G$6:$G$40</definedName>
    <definedName name="Years_Service">Staff!$G$4:$G$38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1" i="8" l="1"/>
  <c r="A41" i="7"/>
  <c r="A41" i="6"/>
  <c r="A39" i="1"/>
  <c r="O40" i="8"/>
  <c r="M40" i="8"/>
  <c r="K40" i="8"/>
  <c r="J40" i="8"/>
  <c r="G40" i="8"/>
  <c r="E40" i="8"/>
  <c r="O39" i="8"/>
  <c r="M39" i="8"/>
  <c r="K39" i="8"/>
  <c r="J39" i="8"/>
  <c r="G39" i="8"/>
  <c r="E39" i="8"/>
  <c r="O38" i="8"/>
  <c r="M38" i="8"/>
  <c r="K38" i="8"/>
  <c r="J38" i="8"/>
  <c r="G38" i="8"/>
  <c r="E38" i="8"/>
  <c r="O37" i="8"/>
  <c r="M37" i="8"/>
  <c r="K37" i="8"/>
  <c r="J37" i="8"/>
  <c r="G37" i="8"/>
  <c r="E37" i="8"/>
  <c r="O36" i="8"/>
  <c r="M36" i="8"/>
  <c r="K36" i="8"/>
  <c r="J36" i="8"/>
  <c r="G36" i="8"/>
  <c r="E36" i="8"/>
  <c r="O35" i="8"/>
  <c r="M35" i="8"/>
  <c r="K35" i="8"/>
  <c r="J35" i="8"/>
  <c r="G35" i="8"/>
  <c r="E35" i="8"/>
  <c r="O34" i="8"/>
  <c r="M34" i="8"/>
  <c r="K34" i="8"/>
  <c r="J34" i="8"/>
  <c r="G34" i="8"/>
  <c r="E34" i="8"/>
  <c r="O33" i="8"/>
  <c r="M33" i="8"/>
  <c r="K33" i="8"/>
  <c r="J33" i="8"/>
  <c r="G33" i="8"/>
  <c r="E33" i="8"/>
  <c r="O32" i="8"/>
  <c r="M32" i="8"/>
  <c r="K32" i="8"/>
  <c r="J32" i="8"/>
  <c r="G32" i="8"/>
  <c r="E32" i="8"/>
  <c r="O31" i="8"/>
  <c r="M31" i="8"/>
  <c r="K31" i="8"/>
  <c r="J31" i="8"/>
  <c r="G31" i="8"/>
  <c r="E31" i="8"/>
  <c r="O30" i="8"/>
  <c r="M30" i="8"/>
  <c r="K30" i="8"/>
  <c r="J30" i="8"/>
  <c r="G30" i="8"/>
  <c r="E30" i="8"/>
  <c r="O29" i="8"/>
  <c r="M29" i="8"/>
  <c r="K29" i="8"/>
  <c r="J29" i="8"/>
  <c r="G29" i="8"/>
  <c r="E29" i="8"/>
  <c r="O28" i="8"/>
  <c r="M28" i="8"/>
  <c r="K28" i="8"/>
  <c r="J28" i="8"/>
  <c r="G28" i="8"/>
  <c r="E28" i="8"/>
  <c r="O27" i="8"/>
  <c r="M27" i="8"/>
  <c r="K27" i="8"/>
  <c r="J27" i="8"/>
  <c r="G27" i="8"/>
  <c r="E27" i="8"/>
  <c r="O26" i="8"/>
  <c r="M26" i="8"/>
  <c r="K26" i="8"/>
  <c r="J26" i="8"/>
  <c r="G26" i="8"/>
  <c r="E26" i="8"/>
  <c r="O25" i="8"/>
  <c r="M25" i="8"/>
  <c r="K25" i="8"/>
  <c r="J25" i="8"/>
  <c r="G25" i="8"/>
  <c r="E25" i="8"/>
  <c r="O24" i="8"/>
  <c r="M24" i="8"/>
  <c r="K24" i="8"/>
  <c r="J24" i="8"/>
  <c r="G24" i="8"/>
  <c r="E24" i="8"/>
  <c r="O23" i="8"/>
  <c r="M23" i="8"/>
  <c r="K23" i="8"/>
  <c r="J23" i="8"/>
  <c r="G23" i="8"/>
  <c r="E23" i="8"/>
  <c r="O22" i="8"/>
  <c r="M22" i="8"/>
  <c r="K22" i="8"/>
  <c r="J22" i="8"/>
  <c r="G22" i="8"/>
  <c r="E22" i="8"/>
  <c r="O21" i="8"/>
  <c r="M21" i="8"/>
  <c r="K21" i="8"/>
  <c r="J21" i="8"/>
  <c r="G21" i="8"/>
  <c r="E21" i="8"/>
  <c r="O20" i="8"/>
  <c r="M20" i="8"/>
  <c r="K20" i="8"/>
  <c r="J20" i="8"/>
  <c r="G20" i="8"/>
  <c r="E20" i="8"/>
  <c r="O19" i="8"/>
  <c r="M19" i="8"/>
  <c r="K19" i="8"/>
  <c r="J19" i="8"/>
  <c r="G19" i="8"/>
  <c r="E19" i="8"/>
  <c r="O18" i="8"/>
  <c r="M18" i="8"/>
  <c r="K18" i="8"/>
  <c r="J18" i="8"/>
  <c r="G18" i="8"/>
  <c r="E18" i="8"/>
  <c r="O17" i="8"/>
  <c r="M17" i="8"/>
  <c r="K17" i="8"/>
  <c r="J17" i="8"/>
  <c r="G17" i="8"/>
  <c r="E17" i="8"/>
  <c r="O16" i="8"/>
  <c r="M16" i="8"/>
  <c r="K16" i="8"/>
  <c r="J16" i="8"/>
  <c r="G16" i="8"/>
  <c r="E16" i="8"/>
  <c r="O15" i="8"/>
  <c r="M15" i="8"/>
  <c r="K15" i="8"/>
  <c r="J15" i="8"/>
  <c r="G15" i="8"/>
  <c r="E15" i="8"/>
  <c r="O14" i="8"/>
  <c r="M14" i="8"/>
  <c r="K14" i="8"/>
  <c r="J14" i="8"/>
  <c r="G14" i="8"/>
  <c r="E14" i="8"/>
  <c r="O13" i="8"/>
  <c r="M13" i="8"/>
  <c r="K13" i="8"/>
  <c r="J13" i="8"/>
  <c r="G13" i="8"/>
  <c r="E13" i="8"/>
  <c r="O12" i="8"/>
  <c r="M12" i="8"/>
  <c r="K12" i="8"/>
  <c r="J12" i="8"/>
  <c r="G12" i="8"/>
  <c r="E12" i="8"/>
  <c r="O11" i="8"/>
  <c r="M11" i="8"/>
  <c r="K11" i="8"/>
  <c r="J11" i="8"/>
  <c r="G11" i="8"/>
  <c r="E11" i="8"/>
  <c r="O10" i="8"/>
  <c r="M10" i="8"/>
  <c r="K10" i="8"/>
  <c r="J10" i="8"/>
  <c r="G10" i="8"/>
  <c r="E10" i="8"/>
  <c r="O9" i="8"/>
  <c r="M9" i="8"/>
  <c r="K9" i="8"/>
  <c r="J9" i="8"/>
  <c r="G9" i="8"/>
  <c r="E9" i="8"/>
  <c r="O8" i="8"/>
  <c r="M8" i="8"/>
  <c r="K8" i="8"/>
  <c r="J8" i="8"/>
  <c r="G8" i="8"/>
  <c r="E8" i="8"/>
  <c r="O7" i="8"/>
  <c r="M7" i="8"/>
  <c r="K7" i="8"/>
  <c r="J7" i="8"/>
  <c r="G7" i="8"/>
  <c r="E7" i="8"/>
  <c r="O6" i="8"/>
  <c r="M6" i="8"/>
  <c r="K6" i="8"/>
  <c r="J6" i="8"/>
  <c r="G6" i="8"/>
  <c r="E6" i="8"/>
  <c r="O25" i="7"/>
  <c r="M25" i="7"/>
  <c r="K25" i="7"/>
  <c r="J25" i="7"/>
  <c r="G25" i="7"/>
  <c r="E25" i="7"/>
  <c r="O38" i="7"/>
  <c r="M38" i="7"/>
  <c r="K38" i="7"/>
  <c r="J38" i="7"/>
  <c r="G38" i="7"/>
  <c r="E38" i="7"/>
  <c r="O39" i="7"/>
  <c r="M39" i="7"/>
  <c r="K39" i="7"/>
  <c r="J39" i="7"/>
  <c r="G39" i="7"/>
  <c r="E39" i="7"/>
  <c r="O37" i="7"/>
  <c r="M37" i="7"/>
  <c r="K37" i="7"/>
  <c r="J37" i="7"/>
  <c r="G37" i="7"/>
  <c r="E37" i="7"/>
  <c r="O36" i="7"/>
  <c r="M36" i="7"/>
  <c r="K36" i="7"/>
  <c r="J36" i="7"/>
  <c r="G36" i="7"/>
  <c r="E36" i="7"/>
  <c r="O35" i="7"/>
  <c r="M35" i="7"/>
  <c r="K35" i="7"/>
  <c r="J35" i="7"/>
  <c r="G35" i="7"/>
  <c r="E35" i="7"/>
  <c r="O34" i="7"/>
  <c r="M34" i="7"/>
  <c r="K34" i="7"/>
  <c r="J34" i="7"/>
  <c r="G34" i="7"/>
  <c r="E34" i="7"/>
  <c r="O33" i="7"/>
  <c r="M33" i="7"/>
  <c r="K33" i="7"/>
  <c r="J33" i="7"/>
  <c r="G33" i="7"/>
  <c r="E33" i="7"/>
  <c r="O32" i="7"/>
  <c r="M32" i="7"/>
  <c r="K32" i="7"/>
  <c r="J32" i="7"/>
  <c r="G32" i="7"/>
  <c r="E32" i="7"/>
  <c r="O31" i="7"/>
  <c r="M31" i="7"/>
  <c r="K31" i="7"/>
  <c r="J31" i="7"/>
  <c r="G31" i="7"/>
  <c r="E31" i="7"/>
  <c r="O30" i="7"/>
  <c r="M30" i="7"/>
  <c r="K30" i="7"/>
  <c r="J30" i="7"/>
  <c r="G30" i="7"/>
  <c r="E30" i="7"/>
  <c r="O29" i="7"/>
  <c r="M29" i="7"/>
  <c r="K29" i="7"/>
  <c r="J29" i="7"/>
  <c r="G29" i="7"/>
  <c r="E29" i="7"/>
  <c r="O28" i="7"/>
  <c r="M28" i="7"/>
  <c r="K28" i="7"/>
  <c r="J28" i="7"/>
  <c r="G28" i="7"/>
  <c r="E28" i="7"/>
  <c r="O27" i="7"/>
  <c r="M27" i="7"/>
  <c r="K27" i="7"/>
  <c r="J27" i="7"/>
  <c r="G27" i="7"/>
  <c r="E27" i="7"/>
  <c r="O26" i="7"/>
  <c r="M26" i="7"/>
  <c r="K26" i="7"/>
  <c r="J26" i="7"/>
  <c r="G26" i="7"/>
  <c r="E26" i="7"/>
  <c r="O40" i="7"/>
  <c r="M40" i="7"/>
  <c r="K40" i="7"/>
  <c r="J40" i="7"/>
  <c r="G40" i="7"/>
  <c r="E40" i="7"/>
  <c r="O24" i="7"/>
  <c r="M24" i="7"/>
  <c r="K24" i="7"/>
  <c r="J24" i="7"/>
  <c r="G24" i="7"/>
  <c r="E24" i="7"/>
  <c r="O23" i="7"/>
  <c r="M23" i="7"/>
  <c r="K23" i="7"/>
  <c r="J23" i="7"/>
  <c r="G23" i="7"/>
  <c r="E23" i="7"/>
  <c r="O22" i="7"/>
  <c r="M22" i="7"/>
  <c r="K22" i="7"/>
  <c r="J22" i="7"/>
  <c r="G22" i="7"/>
  <c r="E22" i="7"/>
  <c r="O21" i="7"/>
  <c r="M21" i="7"/>
  <c r="K21" i="7"/>
  <c r="J21" i="7"/>
  <c r="G21" i="7"/>
  <c r="E21" i="7"/>
  <c r="O20" i="7"/>
  <c r="M20" i="7"/>
  <c r="K20" i="7"/>
  <c r="J20" i="7"/>
  <c r="G20" i="7"/>
  <c r="E20" i="7"/>
  <c r="O19" i="7"/>
  <c r="M19" i="7"/>
  <c r="K19" i="7"/>
  <c r="J19" i="7"/>
  <c r="G19" i="7"/>
  <c r="E19" i="7"/>
  <c r="O18" i="7"/>
  <c r="M18" i="7"/>
  <c r="K18" i="7"/>
  <c r="J18" i="7"/>
  <c r="G18" i="7"/>
  <c r="E18" i="7"/>
  <c r="O17" i="7"/>
  <c r="M17" i="7"/>
  <c r="K17" i="7"/>
  <c r="J17" i="7"/>
  <c r="G17" i="7"/>
  <c r="E17" i="7"/>
  <c r="O16" i="7"/>
  <c r="M16" i="7"/>
  <c r="K16" i="7"/>
  <c r="J16" i="7"/>
  <c r="G16" i="7"/>
  <c r="E16" i="7"/>
  <c r="O15" i="7"/>
  <c r="M15" i="7"/>
  <c r="K15" i="7"/>
  <c r="J15" i="7"/>
  <c r="G15" i="7"/>
  <c r="E15" i="7"/>
  <c r="O14" i="7"/>
  <c r="M14" i="7"/>
  <c r="K14" i="7"/>
  <c r="J14" i="7"/>
  <c r="G14" i="7"/>
  <c r="E14" i="7"/>
  <c r="O13" i="7"/>
  <c r="M13" i="7"/>
  <c r="K13" i="7"/>
  <c r="J13" i="7"/>
  <c r="G13" i="7"/>
  <c r="E13" i="7"/>
  <c r="O12" i="7"/>
  <c r="M12" i="7"/>
  <c r="K12" i="7"/>
  <c r="J12" i="7"/>
  <c r="G12" i="7"/>
  <c r="E12" i="7"/>
  <c r="O11" i="7"/>
  <c r="M11" i="7"/>
  <c r="K11" i="7"/>
  <c r="J11" i="7"/>
  <c r="G11" i="7"/>
  <c r="E11" i="7"/>
  <c r="O10" i="7"/>
  <c r="M10" i="7"/>
  <c r="K10" i="7"/>
  <c r="J10" i="7"/>
  <c r="G10" i="7"/>
  <c r="E10" i="7"/>
  <c r="O9" i="7"/>
  <c r="M9" i="7"/>
  <c r="K9" i="7"/>
  <c r="J9" i="7"/>
  <c r="G9" i="7"/>
  <c r="E9" i="7"/>
  <c r="O8" i="7"/>
  <c r="M8" i="7"/>
  <c r="K8" i="7"/>
  <c r="J8" i="7"/>
  <c r="G8" i="7"/>
  <c r="E8" i="7"/>
  <c r="O7" i="7"/>
  <c r="M7" i="7"/>
  <c r="K7" i="7"/>
  <c r="J7" i="7"/>
  <c r="G7" i="7"/>
  <c r="E7" i="7"/>
  <c r="O6" i="7"/>
  <c r="O41" i="7" s="1"/>
  <c r="M6" i="7"/>
  <c r="K6" i="7"/>
  <c r="J6" i="7"/>
  <c r="G6" i="7"/>
  <c r="E6" i="7"/>
  <c r="O15" i="6"/>
  <c r="M15" i="6"/>
  <c r="K15" i="6"/>
  <c r="J15" i="6"/>
  <c r="G15" i="6"/>
  <c r="E15" i="6"/>
  <c r="O22" i="6"/>
  <c r="M22" i="6"/>
  <c r="K22" i="6"/>
  <c r="J22" i="6"/>
  <c r="G22" i="6"/>
  <c r="E22" i="6"/>
  <c r="O33" i="6"/>
  <c r="M33" i="6"/>
  <c r="K33" i="6"/>
  <c r="J33" i="6"/>
  <c r="G33" i="6"/>
  <c r="E33" i="6"/>
  <c r="O10" i="6"/>
  <c r="M10" i="6"/>
  <c r="K10" i="6"/>
  <c r="J10" i="6"/>
  <c r="G10" i="6"/>
  <c r="E10" i="6"/>
  <c r="O32" i="6"/>
  <c r="M32" i="6"/>
  <c r="K32" i="6"/>
  <c r="J32" i="6"/>
  <c r="G32" i="6"/>
  <c r="E32" i="6"/>
  <c r="O14" i="6"/>
  <c r="M14" i="6"/>
  <c r="K14" i="6"/>
  <c r="J14" i="6"/>
  <c r="G14" i="6"/>
  <c r="E14" i="6"/>
  <c r="O30" i="6"/>
  <c r="M30" i="6"/>
  <c r="K30" i="6"/>
  <c r="J30" i="6"/>
  <c r="G30" i="6"/>
  <c r="E30" i="6"/>
  <c r="O9" i="6"/>
  <c r="M9" i="6"/>
  <c r="K9" i="6"/>
  <c r="J9" i="6"/>
  <c r="G9" i="6"/>
  <c r="E9" i="6"/>
  <c r="O26" i="6"/>
  <c r="M26" i="6"/>
  <c r="K26" i="6"/>
  <c r="J26" i="6"/>
  <c r="G26" i="6"/>
  <c r="E26" i="6"/>
  <c r="O13" i="6"/>
  <c r="M13" i="6"/>
  <c r="K13" i="6"/>
  <c r="J13" i="6"/>
  <c r="G13" i="6"/>
  <c r="E13" i="6"/>
  <c r="O36" i="6"/>
  <c r="M36" i="6"/>
  <c r="K36" i="6"/>
  <c r="J36" i="6"/>
  <c r="G36" i="6"/>
  <c r="E36" i="6"/>
  <c r="O16" i="6"/>
  <c r="M16" i="6"/>
  <c r="K16" i="6"/>
  <c r="J16" i="6"/>
  <c r="G16" i="6"/>
  <c r="E16" i="6"/>
  <c r="O21" i="6"/>
  <c r="M21" i="6"/>
  <c r="K21" i="6"/>
  <c r="J21" i="6"/>
  <c r="G21" i="6"/>
  <c r="E21" i="6"/>
  <c r="O31" i="6"/>
  <c r="M31" i="6"/>
  <c r="K31" i="6"/>
  <c r="J31" i="6"/>
  <c r="G31" i="6"/>
  <c r="E31" i="6"/>
  <c r="O38" i="6"/>
  <c r="M38" i="6"/>
  <c r="K38" i="6"/>
  <c r="J38" i="6"/>
  <c r="G38" i="6"/>
  <c r="E38" i="6"/>
  <c r="O18" i="6"/>
  <c r="M18" i="6"/>
  <c r="K18" i="6"/>
  <c r="J18" i="6"/>
  <c r="G18" i="6"/>
  <c r="E18" i="6"/>
  <c r="O24" i="6"/>
  <c r="M24" i="6"/>
  <c r="K24" i="6"/>
  <c r="J24" i="6"/>
  <c r="G24" i="6"/>
  <c r="E24" i="6"/>
  <c r="O23" i="6"/>
  <c r="M23" i="6"/>
  <c r="K23" i="6"/>
  <c r="J23" i="6"/>
  <c r="G23" i="6"/>
  <c r="E23" i="6"/>
  <c r="O12" i="6"/>
  <c r="M12" i="6"/>
  <c r="K12" i="6"/>
  <c r="J12" i="6"/>
  <c r="G12" i="6"/>
  <c r="E12" i="6"/>
  <c r="O17" i="6"/>
  <c r="M17" i="6"/>
  <c r="K17" i="6"/>
  <c r="J17" i="6"/>
  <c r="G17" i="6"/>
  <c r="E17" i="6"/>
  <c r="O6" i="6"/>
  <c r="M6" i="6"/>
  <c r="K6" i="6"/>
  <c r="J6" i="6"/>
  <c r="G6" i="6"/>
  <c r="E6" i="6"/>
  <c r="O29" i="6"/>
  <c r="M29" i="6"/>
  <c r="K29" i="6"/>
  <c r="J29" i="6"/>
  <c r="G29" i="6"/>
  <c r="E29" i="6"/>
  <c r="O27" i="6"/>
  <c r="M27" i="6"/>
  <c r="K27" i="6"/>
  <c r="J27" i="6"/>
  <c r="G27" i="6"/>
  <c r="E27" i="6"/>
  <c r="O7" i="6"/>
  <c r="M7" i="6"/>
  <c r="K7" i="6"/>
  <c r="J7" i="6"/>
  <c r="G7" i="6"/>
  <c r="E7" i="6"/>
  <c r="O40" i="6"/>
  <c r="M40" i="6"/>
  <c r="K40" i="6"/>
  <c r="J40" i="6"/>
  <c r="G40" i="6"/>
  <c r="E40" i="6"/>
  <c r="O34" i="6"/>
  <c r="M34" i="6"/>
  <c r="K34" i="6"/>
  <c r="J34" i="6"/>
  <c r="G34" i="6"/>
  <c r="E34" i="6"/>
  <c r="O8" i="6"/>
  <c r="M8" i="6"/>
  <c r="K8" i="6"/>
  <c r="J8" i="6"/>
  <c r="G8" i="6"/>
  <c r="E8" i="6"/>
  <c r="O19" i="6"/>
  <c r="M19" i="6"/>
  <c r="K19" i="6"/>
  <c r="J19" i="6"/>
  <c r="G19" i="6"/>
  <c r="E19" i="6"/>
  <c r="O39" i="6"/>
  <c r="M39" i="6"/>
  <c r="K39" i="6"/>
  <c r="J39" i="6"/>
  <c r="G39" i="6"/>
  <c r="E39" i="6"/>
  <c r="O37" i="6"/>
  <c r="M37" i="6"/>
  <c r="K37" i="6"/>
  <c r="J37" i="6"/>
  <c r="G37" i="6"/>
  <c r="E37" i="6"/>
  <c r="O25" i="6"/>
  <c r="M25" i="6"/>
  <c r="K25" i="6"/>
  <c r="J25" i="6"/>
  <c r="G25" i="6"/>
  <c r="E25" i="6"/>
  <c r="O28" i="6"/>
  <c r="M28" i="6"/>
  <c r="K28" i="6"/>
  <c r="J28" i="6"/>
  <c r="G28" i="6"/>
  <c r="E28" i="6"/>
  <c r="O20" i="6"/>
  <c r="M20" i="6"/>
  <c r="K20" i="6"/>
  <c r="J20" i="6"/>
  <c r="G20" i="6"/>
  <c r="E20" i="6"/>
  <c r="O35" i="6"/>
  <c r="M35" i="6"/>
  <c r="K35" i="6"/>
  <c r="J35" i="6"/>
  <c r="G35" i="6"/>
  <c r="E35" i="6"/>
  <c r="O11" i="6"/>
  <c r="M11" i="6"/>
  <c r="K11" i="6"/>
  <c r="J11" i="6"/>
  <c r="G11" i="6"/>
  <c r="E11" i="6"/>
  <c r="E27" i="1"/>
  <c r="G41" i="7" l="1"/>
  <c r="G41" i="8"/>
  <c r="O41" i="8"/>
  <c r="O41" i="6"/>
  <c r="B12" i="2"/>
  <c r="B11" i="2"/>
  <c r="B3" i="2"/>
  <c r="O37" i="1"/>
  <c r="O36" i="1"/>
  <c r="O35" i="1"/>
  <c r="O34" i="1"/>
  <c r="O33" i="1"/>
  <c r="O32" i="1"/>
  <c r="O31" i="1"/>
  <c r="O30" i="1"/>
  <c r="O29" i="1"/>
  <c r="O28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27" i="1"/>
  <c r="O4" i="1"/>
  <c r="O38" i="1"/>
  <c r="O39" i="1" l="1"/>
  <c r="G30" i="1"/>
  <c r="M35" i="1" l="1"/>
  <c r="M16" i="1"/>
  <c r="M11" i="1"/>
  <c r="M7" i="1"/>
  <c r="M18" i="1"/>
  <c r="M17" i="1"/>
  <c r="M32" i="1"/>
  <c r="M38" i="1"/>
  <c r="M19" i="1"/>
  <c r="M25" i="1"/>
  <c r="M23" i="1"/>
  <c r="M26" i="1"/>
  <c r="M37" i="1"/>
  <c r="M15" i="1"/>
  <c r="M4" i="1"/>
  <c r="M20" i="1"/>
  <c r="M29" i="1"/>
  <c r="M21" i="1"/>
  <c r="M22" i="1"/>
  <c r="M12" i="1"/>
  <c r="M8" i="1"/>
  <c r="M31" i="1"/>
  <c r="M34" i="1"/>
  <c r="M33" i="1"/>
  <c r="M36" i="1"/>
  <c r="M13" i="1"/>
  <c r="M5" i="1"/>
  <c r="M28" i="1"/>
  <c r="M6" i="1"/>
  <c r="M9" i="1"/>
  <c r="M24" i="1"/>
  <c r="M10" i="1"/>
  <c r="M27" i="1"/>
  <c r="M14" i="1"/>
  <c r="M30" i="1"/>
  <c r="B4" i="2" l="1"/>
  <c r="B5" i="2"/>
  <c r="G35" i="1"/>
  <c r="G16" i="1"/>
  <c r="G11" i="1"/>
  <c r="G7" i="1"/>
  <c r="G18" i="1"/>
  <c r="G17" i="1"/>
  <c r="G32" i="1"/>
  <c r="G38" i="1"/>
  <c r="G19" i="1"/>
  <c r="G25" i="1"/>
  <c r="G23" i="1"/>
  <c r="G26" i="1"/>
  <c r="G37" i="1"/>
  <c r="G15" i="1"/>
  <c r="G4" i="1"/>
  <c r="G20" i="1"/>
  <c r="G29" i="1"/>
  <c r="G21" i="1"/>
  <c r="G22" i="1"/>
  <c r="G12" i="1"/>
  <c r="G8" i="1"/>
  <c r="G31" i="1"/>
  <c r="G34" i="1"/>
  <c r="G33" i="1"/>
  <c r="G36" i="1"/>
  <c r="G13" i="1"/>
  <c r="G5" i="1"/>
  <c r="G28" i="1"/>
  <c r="G6" i="1"/>
  <c r="G9" i="1"/>
  <c r="G24" i="1"/>
  <c r="G10" i="1"/>
  <c r="G27" i="1"/>
  <c r="G14" i="1"/>
  <c r="E35" i="1"/>
  <c r="E16" i="1"/>
  <c r="E11" i="1"/>
  <c r="E7" i="1"/>
  <c r="E18" i="1"/>
  <c r="E17" i="1"/>
  <c r="E32" i="1"/>
  <c r="E38" i="1"/>
  <c r="E19" i="1"/>
  <c r="E25" i="1"/>
  <c r="E23" i="1"/>
  <c r="E26" i="1"/>
  <c r="E37" i="1"/>
  <c r="E15" i="1"/>
  <c r="E4" i="1"/>
  <c r="E20" i="1"/>
  <c r="E29" i="1"/>
  <c r="E21" i="1"/>
  <c r="E22" i="1"/>
  <c r="E12" i="1"/>
  <c r="E8" i="1"/>
  <c r="E31" i="1"/>
  <c r="E34" i="1"/>
  <c r="E33" i="1"/>
  <c r="E36" i="1"/>
  <c r="E13" i="1"/>
  <c r="E5" i="1"/>
  <c r="E28" i="1"/>
  <c r="E6" i="1"/>
  <c r="E9" i="1"/>
  <c r="E24" i="1"/>
  <c r="E10" i="1"/>
  <c r="E14" i="1"/>
  <c r="E30" i="1"/>
  <c r="K35" i="1"/>
  <c r="K16" i="1"/>
  <c r="K11" i="1"/>
  <c r="K7" i="1"/>
  <c r="K18" i="1"/>
  <c r="K17" i="1"/>
  <c r="K32" i="1"/>
  <c r="K38" i="1"/>
  <c r="K19" i="1"/>
  <c r="K25" i="1"/>
  <c r="K23" i="1"/>
  <c r="K26" i="1"/>
  <c r="K37" i="1"/>
  <c r="K15" i="1"/>
  <c r="K4" i="1"/>
  <c r="K20" i="1"/>
  <c r="K29" i="1"/>
  <c r="K21" i="1"/>
  <c r="K22" i="1"/>
  <c r="K12" i="1"/>
  <c r="K8" i="1"/>
  <c r="K31" i="1"/>
  <c r="K34" i="1"/>
  <c r="K33" i="1"/>
  <c r="K36" i="1"/>
  <c r="K13" i="1"/>
  <c r="K5" i="1"/>
  <c r="K28" i="1"/>
  <c r="K6" i="1"/>
  <c r="K9" i="1"/>
  <c r="K24" i="1"/>
  <c r="K10" i="1"/>
  <c r="K27" i="1"/>
  <c r="K14" i="1"/>
  <c r="K30" i="1"/>
  <c r="J35" i="1"/>
  <c r="J16" i="1"/>
  <c r="J11" i="1"/>
  <c r="J7" i="1"/>
  <c r="J18" i="1"/>
  <c r="J17" i="1"/>
  <c r="J32" i="1"/>
  <c r="J38" i="1"/>
  <c r="J19" i="1"/>
  <c r="J25" i="1"/>
  <c r="J23" i="1"/>
  <c r="J26" i="1"/>
  <c r="J37" i="1"/>
  <c r="J15" i="1"/>
  <c r="J4" i="1"/>
  <c r="J20" i="1"/>
  <c r="J29" i="1"/>
  <c r="J21" i="1"/>
  <c r="J22" i="1"/>
  <c r="J12" i="1"/>
  <c r="J8" i="1"/>
  <c r="J31" i="1"/>
  <c r="J34" i="1"/>
  <c r="J33" i="1"/>
  <c r="J36" i="1"/>
  <c r="J13" i="1"/>
  <c r="J5" i="1"/>
  <c r="J28" i="1"/>
  <c r="J6" i="1"/>
  <c r="J9" i="1"/>
  <c r="J24" i="1"/>
  <c r="J10" i="1"/>
  <c r="J27" i="1"/>
  <c r="J14" i="1"/>
  <c r="J30" i="1"/>
  <c r="D19" i="2" l="1"/>
  <c r="C17" i="2"/>
  <c r="C21" i="2"/>
  <c r="B17" i="2"/>
  <c r="B21" i="2"/>
  <c r="D20" i="2"/>
  <c r="C18" i="2"/>
  <c r="C16" i="2"/>
  <c r="B18" i="2"/>
  <c r="B16" i="2"/>
  <c r="D17" i="2"/>
  <c r="D21" i="2"/>
  <c r="C19" i="2"/>
  <c r="B19" i="2"/>
  <c r="D18" i="2"/>
  <c r="D16" i="2"/>
  <c r="C20" i="2"/>
  <c r="B20" i="2"/>
  <c r="B7" i="2"/>
  <c r="B6" i="2"/>
</calcChain>
</file>

<file path=xl/sharedStrings.xml><?xml version="1.0" encoding="utf-8"?>
<sst xmlns="http://schemas.openxmlformats.org/spreadsheetml/2006/main" count="928" uniqueCount="171">
  <si>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</si>
  <si>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</si>
  <si>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</si>
  <si>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</si>
  <si>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</si>
  <si>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</si>
  <si>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</si>
  <si>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</si>
  <si>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</si>
  <si>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E1003</t>
  </si>
  <si>
    <t>Daniel</t>
  </si>
  <si>
    <t>E1004</t>
  </si>
  <si>
    <t>Adam</t>
  </si>
  <si>
    <t>Facilities</t>
  </si>
  <si>
    <t>Susan</t>
  </si>
  <si>
    <t>Accounting</t>
  </si>
  <si>
    <t>Elizabeth</t>
  </si>
  <si>
    <t>Human Resources</t>
  </si>
  <si>
    <t>Janet</t>
  </si>
  <si>
    <t>Bob</t>
  </si>
  <si>
    <t>Sabrina</t>
  </si>
  <si>
    <t>Mary</t>
  </si>
  <si>
    <t>Executive</t>
  </si>
  <si>
    <t>Joe</t>
  </si>
  <si>
    <t>Customer Service</t>
  </si>
  <si>
    <t>Mark</t>
  </si>
  <si>
    <t>Alexandra</t>
  </si>
  <si>
    <t>Jim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</si>
  <si>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</si>
  <si>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</si>
  <si>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</si>
  <si>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</si>
  <si>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</si>
  <si>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</si>
  <si>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</si>
  <si>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</si>
  <si>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</si>
  <si>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</si>
  <si>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</si>
  <si>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</si>
  <si>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</si>
  <si>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</si>
  <si>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</si>
  <si>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</si>
  <si>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</si>
  <si>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</si>
  <si>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</si>
  <si>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</si>
  <si>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</si>
  <si>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</si>
  <si>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</si>
  <si>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</si>
  <si>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</si>
  <si>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</si>
  <si>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</si>
  <si>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</si>
  <si>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</si>
  <si>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</si>
  <si>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Sean</t>
  </si>
  <si>
    <t>IT</t>
  </si>
  <si>
    <t>Floor</t>
  </si>
  <si>
    <t>Uma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</si>
  <si>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</si>
  <si>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</si>
  <si>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</si>
  <si>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</si>
  <si>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</si>
  <si>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</si>
  <si>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</si>
  <si>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</si>
  <si>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</si>
  <si>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</si>
  <si>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</si>
  <si>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</si>
  <si>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</si>
  <si>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</si>
  <si>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</si>
  <si>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</si>
  <si>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</si>
  <si>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</si>
  <si>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</si>
  <si>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</si>
  <si>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</si>
  <si>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</si>
  <si>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</si>
  <si>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</si>
  <si>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</si>
  <si>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</si>
  <si>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</si>
  <si>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</si>
  <si>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</si>
  <si>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</si>
  <si>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</si>
  <si>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</si>
  <si>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</si>
  <si>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</si>
  <si>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</si>
  <si>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</si>
  <si>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</si>
  <si>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</si>
  <si>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</si>
  <si>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</si>
  <si>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</si>
  <si>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</si>
  <si>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</si>
  <si>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</si>
  <si>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</si>
  <si>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</si>
  <si>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</si>
  <si>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</si>
  <si>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</si>
  <si>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</si>
  <si>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</si>
  <si>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</si>
  <si>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</si>
  <si>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</si>
  <si>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</si>
  <si>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</si>
  <si>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</si>
  <si>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</si>
  <si>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</si>
  <si>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</si>
  <si>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</si>
  <si>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</si>
  <si>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</si>
  <si>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</si>
  <si>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</si>
  <si>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</si>
  <si>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</si>
  <si>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</si>
  <si>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</si>
  <si>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</si>
  <si>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</si>
  <si>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</si>
  <si>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Total Salaries:</t>
  </si>
  <si>
    <t>Average Salary:</t>
  </si>
  <si>
    <t>Longest Service:</t>
  </si>
  <si>
    <t>Most Recent Start Date:</t>
  </si>
  <si>
    <t>Barry</t>
  </si>
  <si>
    <t>Boller</t>
  </si>
  <si>
    <t>Carol</t>
  </si>
  <si>
    <t>Chaffee</t>
  </si>
  <si>
    <t>Chaudri</t>
  </si>
  <si>
    <t>Chu</t>
  </si>
  <si>
    <t>Chung</t>
  </si>
  <si>
    <t>Clark</t>
  </si>
  <si>
    <t>Anna</t>
  </si>
  <si>
    <t>Cole</t>
  </si>
  <si>
    <t>Comuntzis</t>
  </si>
  <si>
    <t>Decker</t>
  </si>
  <si>
    <t>Desiato</t>
  </si>
  <si>
    <t>Donnell</t>
  </si>
  <si>
    <t>Ellis</t>
  </si>
  <si>
    <t>Ferris</t>
  </si>
  <si>
    <t>Filosa</t>
  </si>
  <si>
    <t>Flanders</t>
  </si>
  <si>
    <t>Martinez</t>
  </si>
  <si>
    <t>Carlos</t>
  </si>
  <si>
    <t>Sanders</t>
  </si>
  <si>
    <t>Wang</t>
  </si>
  <si>
    <t>Pension</t>
  </si>
  <si>
    <t>Contribution</t>
  </si>
  <si>
    <t>Total Staff:</t>
  </si>
  <si>
    <t>Total Salary</t>
  </si>
  <si>
    <t>Gender</t>
  </si>
  <si>
    <t>M</t>
  </si>
  <si>
    <t>F</t>
  </si>
  <si>
    <t>Total Staff</t>
  </si>
  <si>
    <t>Male</t>
  </si>
  <si>
    <t>Female</t>
  </si>
  <si>
    <t>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</si>
</sst>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3" borderId="1" applyNumberFormat="0" applyAlignment="0" applyProtection="0"/>
    <xf numFmtId="0" fontId="7" fillId="4" borderId="0" applyNumberFormat="0" applyBorder="0" applyAlignment="0" applyProtection="0"/>
  </cellStyleXfs>
  <cellXfs count="23">
    <xf numFmtId="0" fontId="0" fillId="0" borderId="0" xfId="0"/>
    <xf numFmtId="0" fontId="3" fillId="0" borderId="0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2" applyBorder="1" applyAlignment="1">
      <alignment horizontal="left" vertical="center" wrapText="1"/>
    </xf>
    <xf numFmtId="165" fontId="5" fillId="3" borderId="1" xfId="3" applyNumberFormat="1" applyAlignment="1">
      <alignment vertical="center"/>
    </xf>
    <xf numFmtId="164" fontId="5" fillId="3" borderId="1" xfId="3" applyNumberFormat="1" applyAlignment="1">
      <alignment vertical="center"/>
    </xf>
    <xf numFmtId="14" fontId="5" fillId="3" borderId="1" xfId="3" applyNumberFormat="1" applyAlignment="1">
      <alignment vertical="center"/>
    </xf>
    <xf numFmtId="0" fontId="6" fillId="0" borderId="0" xfId="0" applyFont="1" applyAlignment="1">
      <alignment wrapText="1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5" fillId="3" borderId="1" xfId="3" applyNumberFormat="1" applyAlignment="1">
      <alignment vertical="center"/>
    </xf>
    <xf numFmtId="0" fontId="8" fillId="0" borderId="0" xfId="1" applyFont="1" applyAlignment="1">
      <alignment horizontal="left"/>
    </xf>
    <xf numFmtId="0" fontId="4" fillId="0" borderId="0" xfId="0" applyFont="1" applyAlignment="1">
      <alignment horizontal="center" wrapText="1"/>
    </xf>
    <xf numFmtId="0" fontId="2" fillId="2" borderId="0" xfId="2" applyBorder="1" applyAlignment="1">
      <alignment horizontal="center" vertical="center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</cellXfs>
  <cellStyles count="5">
    <cellStyle name="20% - Accent1" xfId="4" builtinId="30"/>
    <cellStyle name="Accent1" xfId="2" builtinId="29"/>
    <cellStyle name="Normal" xfId="0" builtinId="0"/>
    <cellStyle name="Output" xfId="3" builtinId="21"/>
    <cellStyle name="Title" xfId="1" builtinId="15"/>
  </cellStyles>
  <dxfs count="122"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Stats!$B$10</c:f>
              <c:strCache>
                <c:ptCount val="1"/>
                <c:pt idx="0">
                  <c:v>Total Staff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28-4193-9B57-C543C5AE00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28-4193-9B57-C543C5AE00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Stats!$B$11:$B$12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C-4D93-A2C2-316304DC4B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Stats!$B$15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AF-468C-822C-65D9136E48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AF-468C-822C-65D9136E48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AF-468C-822C-65D9136E48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AF-468C-822C-65D9136E481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AF-468C-822C-65D9136E481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AF-468C-822C-65D9136E48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Stats!$A$16:$A$21</c:f>
              <c:strCache>
                <c:ptCount val="6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</c:strCache>
            </c:strRef>
          </c:cat>
          <c:val>
            <c:numRef>
              <c:f>Stats!$B$16:$B$21</c:f>
              <c:numCache>
                <c:formatCode>"$"#,##0.00</c:formatCode>
                <c:ptCount val="6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7-4AB5-A501-7B32B63B91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423334</xdr:colOff>
      <xdr:row>2</xdr:row>
      <xdr:rowOff>10583</xdr:rowOff>
    </xdr:from>
    <xdr:to>
      <xdr:col>8</xdr:col>
      <xdr:colOff>306917</xdr:colOff>
      <xdr:row>3</xdr:row>
      <xdr:rowOff>137583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214ACF4-1069-47F1-845C-9EF8B499E4EC}"/>
            </a:ext>
          </a:extLst>
        </xdr:cNvPr>
        <xdr:cNvSpPr/>
      </xdr:nvSpPr>
      <xdr:spPr>
        <a:xfrm>
          <a:off x="6212417" y="730250"/>
          <a:ext cx="2053167" cy="486833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FILTRAR POR:</a:t>
          </a:r>
        </a:p>
        <a:p>
          <a:pPr algn="l"/>
          <a:r>
            <a:rPr lang="es-419" sz="1100"/>
            <a:t>DEPARTMENT,</a:t>
          </a:r>
          <a:r>
            <a:rPr lang="es-419" sz="1100" baseline="0"/>
            <a:t> LAST Y FIRST</a:t>
          </a:r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59533</xdr:colOff>
      <xdr:row>1</xdr:row>
      <xdr:rowOff>297656</xdr:rowOff>
    </xdr:from>
    <xdr:to>
      <xdr:col>14</xdr:col>
      <xdr:colOff>678657</xdr:colOff>
      <xdr:row>3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DAC9A9B-69E6-4296-A0EB-837B7C4FA524}"/>
            </a:ext>
          </a:extLst>
        </xdr:cNvPr>
        <xdr:cNvSpPr/>
      </xdr:nvSpPr>
      <xdr:spPr>
        <a:xfrm>
          <a:off x="11549064" y="654844"/>
          <a:ext cx="2595562" cy="511969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FILTRAR</a:t>
          </a:r>
          <a:r>
            <a:rPr lang="es-419" sz="1100" baseline="0"/>
            <a:t> POR LOS 5 QUE MAS GANAS</a:t>
          </a:r>
          <a:endParaRPr lang="es-419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</xdr:row>
      <xdr:rowOff>323850</xdr:rowOff>
    </xdr:from>
    <xdr:to>
      <xdr:col>7</xdr:col>
      <xdr:colOff>838200</xdr:colOff>
      <xdr:row>3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1EFD2A8-AAD8-43E6-A9A0-A1D4D6DB5C3A}"/>
            </a:ext>
          </a:extLst>
        </xdr:cNvPr>
        <xdr:cNvSpPr/>
      </xdr:nvSpPr>
      <xdr:spPr>
        <a:xfrm>
          <a:off x="4953000" y="685800"/>
          <a:ext cx="2657475" cy="5429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NUMEROS</a:t>
          </a:r>
          <a:r>
            <a:rPr lang="es-419" sz="1100" baseline="0"/>
            <a:t> DE EMPLEADOS QUE HAN TRABAJADO MAS TIEMPO QUE LA MEDIA</a:t>
          </a:r>
          <a:endParaRPr lang="es-419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174170</xdr:rowOff>
    </xdr:from>
    <xdr:to>
      <xdr:col>4</xdr:col>
      <xdr:colOff>10886</xdr:colOff>
      <xdr:row>12</xdr:row>
      <xdr:rowOff>5443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B5471F-1593-40AB-B7CD-50B21DB32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1</xdr:row>
      <xdr:rowOff>171449</xdr:rowOff>
    </xdr:from>
    <xdr:to>
      <xdr:col>10</xdr:col>
      <xdr:colOff>560614</xdr:colOff>
      <xdr:row>21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7632C-135D-4CE6-B2B6-50468D13B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" displayName="HR" ref="A3:O39" totalsRowCount="1" dataDxfId="121">
  <autoFilter ref="A3:O38" xr:uid="{00000000-000C-0000-FFFF-FFFF00000000}"/>
  <sortState xmlns:xlrd2="http://schemas.microsoft.com/office/spreadsheetml/2017/richdata2" ref="A4:O38">
    <sortCondition descending="1" ref="F3:F38"/>
  </sortState>
  <tableColumns count="15">
    <tableColumn id="1" xr3:uid="{00000000-0010-0000-0000-000001000000}" name="Emp ID" totalsRowFunction="count" dataDxfId="104" totalsRowDxfId="15"/>
    <tableColumn id="2" xr3:uid="{00000000-0010-0000-0000-000002000000}" name="Last"/>
    <tableColumn id="3" xr3:uid="{00000000-0010-0000-0000-000003000000}" name="First" dataDxfId="105" totalsRowDxfId="16"/>
    <tableColumn id="4" xr3:uid="{00000000-0010-0000-0000-000004000000}" name="Gender" dataDxfId="106" totalsRowDxfId="17"/>
    <tableColumn id="5" xr3:uid="{00000000-0010-0000-0000-000005000000}" name="Email">
      <calculatedColumnFormula>LOWER(C4&amp;"."&amp;B4&amp;"@pushpin.com")</calculatedColumnFormula>
    </tableColumn>
    <tableColumn id="6" xr3:uid="{00000000-0010-0000-0000-000006000000}" name="Date of Hire" dataDxfId="107" totalsRowDxfId="18"/>
    <tableColumn id="7" xr3:uid="{00000000-0010-0000-0000-000007000000}" name="Years Service" dataDxfId="108" totalsRowDxfId="19">
      <calculatedColumnFormula>YEARFRAC(F4,TODAY())</calculatedColumnFormula>
    </tableColumn>
    <tableColumn id="8" xr3:uid="{00000000-0010-0000-0000-000008000000}" name="Department" dataDxfId="109" totalsRowDxfId="20"/>
    <tableColumn id="9" xr3:uid="{00000000-0010-0000-0000-000009000000}" name="Location" dataDxfId="110" totalsRowDxfId="21"/>
    <tableColumn id="10" xr3:uid="{00000000-0010-0000-0000-00000A000000}" name="Floor" dataDxfId="111" totalsRowDxfId="22">
      <calculatedColumnFormula>LEFT(I4,2)</calculatedColumnFormula>
    </tableColumn>
    <tableColumn id="11" xr3:uid="{00000000-0010-0000-0000-00000B000000}" name="Extension" dataDxfId="112" totalsRowDxfId="23">
      <calculatedColumnFormula>RIGHT(I4,4)</calculatedColumnFormula>
    </tableColumn>
    <tableColumn id="12" xr3:uid="{00000000-0010-0000-0000-00000C000000}" name="Last Review" dataDxfId="113" totalsRowDxfId="24"/>
    <tableColumn id="13" xr3:uid="{00000000-0010-0000-0000-00000D000000}" name="Next Review" dataDxfId="114" totalsRowDxfId="25">
      <calculatedColumnFormula>L4+365</calculatedColumnFormula>
    </tableColumn>
    <tableColumn id="14" xr3:uid="{00000000-0010-0000-0000-00000E000000}" name="Annual Salary" dataDxfId="115" totalsRowDxfId="26"/>
    <tableColumn id="15" xr3:uid="{00000000-0010-0000-0000-00000F000000}" name="Pension" totalsRowFunction="sum" dataDxfId="116" totalsRowDxfId="27">
      <calculatedColumnFormula>N4*Pension_Rate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CEEC04-DE47-4E68-827A-5AB8EE4D0A3E}" name="HR_7" displayName="HR_7" ref="A5:O41" totalsRowCount="1" dataDxfId="103">
  <autoFilter ref="A5:O40" xr:uid="{00000000-000C-0000-FFFF-FFFF00000000}"/>
  <sortState xmlns:xlrd2="http://schemas.microsoft.com/office/spreadsheetml/2017/richdata2" ref="A6:O40">
    <sortCondition ref="H6:H40"/>
    <sortCondition ref="B6:B40"/>
    <sortCondition ref="C6:C40"/>
  </sortState>
  <tableColumns count="15">
    <tableColumn id="1" xr3:uid="{BABAD302-E7C4-48E4-BE52-9C42E99A92D3}" name="Emp ID" totalsRowFunction="count" dataDxfId="102" totalsRowDxfId="14"/>
    <tableColumn id="2" xr3:uid="{E642895B-D47E-48F8-BCA8-A74A9DC1AC0E}" name="Last"/>
    <tableColumn id="3" xr3:uid="{FBA19C7F-BB09-4EA8-965B-A88F2248F905}" name="First" dataDxfId="100" totalsRowDxfId="101"/>
    <tableColumn id="4" xr3:uid="{E149553B-A2E9-4687-9A29-73BB10F9E7EC}" name="Gender" dataDxfId="98" totalsRowDxfId="99"/>
    <tableColumn id="5" xr3:uid="{8F037CA0-7B35-4456-865E-5D40FF9E970B}" name="Email">
      <calculatedColumnFormula>LOWER(C6&amp;"."&amp;B6&amp;"@pushpin.com")</calculatedColumnFormula>
    </tableColumn>
    <tableColumn id="6" xr3:uid="{9F8B3307-057C-4330-9CA0-D50EFCBF2D3D}" name="Date of Hire" dataDxfId="96" totalsRowDxfId="97"/>
    <tableColumn id="7" xr3:uid="{74F7B527-D4B6-4AD9-A83F-C90D8DEEE3E5}" name="Years Service" dataDxfId="94" totalsRowDxfId="95">
      <calculatedColumnFormula>YEARFRAC(F6,TODAY())</calculatedColumnFormula>
    </tableColumn>
    <tableColumn id="8" xr3:uid="{BBE5237A-7D8C-416B-821A-0EE630622D15}" name="Department" dataDxfId="92" totalsRowDxfId="93"/>
    <tableColumn id="9" xr3:uid="{4C49F50B-608C-4653-A4E8-1AB54BAC940B}" name="Location" dataDxfId="90" totalsRowDxfId="91"/>
    <tableColumn id="10" xr3:uid="{B9A8C560-DAA8-4D75-B062-26EE6CF125B7}" name="Floor" dataDxfId="88" totalsRowDxfId="89">
      <calculatedColumnFormula>LEFT(I6,2)</calculatedColumnFormula>
    </tableColumn>
    <tableColumn id="11" xr3:uid="{0BB9997C-5946-461E-80BD-4C7335AFC5B4}" name="Extension" dataDxfId="86" totalsRowDxfId="87">
      <calculatedColumnFormula>RIGHT(I6,4)</calculatedColumnFormula>
    </tableColumn>
    <tableColumn id="12" xr3:uid="{9F88F8DC-A97C-4DF6-B7B7-125AA84C3F86}" name="Last Review" dataDxfId="84" totalsRowDxfId="85"/>
    <tableColumn id="13" xr3:uid="{F3ECCDCE-6B10-4C7C-8327-89A9773187DC}" name="Next Review" dataDxfId="82" totalsRowDxfId="83">
      <calculatedColumnFormula>L6+365</calculatedColumnFormula>
    </tableColumn>
    <tableColumn id="14" xr3:uid="{86852060-75E6-48D3-B553-E332ADA82C9A}" name="Annual Salary" dataDxfId="80" totalsRowDxfId="81"/>
    <tableColumn id="15" xr3:uid="{9667F831-DBA3-4F22-8955-814885B6C9CA}" name="Pension" totalsRowFunction="sum" dataDxfId="78" totalsRowDxfId="79">
      <calculatedColumnFormula>N6*Pension_Rate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193F9F-AB9B-454E-B56B-E8CC3B253F07}" name="HR_78" displayName="HR_78" ref="A5:O41" totalsRowCount="1" dataDxfId="77">
  <autoFilter ref="A5:O40" xr:uid="{00000000-000C-0000-FFFF-FFFF00000000}">
    <filterColumn colId="13">
      <top10 val="5" filterVal="63200"/>
    </filterColumn>
  </autoFilter>
  <sortState xmlns:xlrd2="http://schemas.microsoft.com/office/spreadsheetml/2017/richdata2" ref="A25:O40">
    <sortCondition descending="1" ref="N5:N40"/>
  </sortState>
  <tableColumns count="15">
    <tableColumn id="1" xr3:uid="{68FE3D38-97E7-492C-9632-A7B0465D35E0}" name="Emp ID" totalsRowFunction="count" dataDxfId="76" totalsRowDxfId="13"/>
    <tableColumn id="2" xr3:uid="{8AB02CE5-77FC-46D5-B1FD-DCA1CBD422E2}" name="Last"/>
    <tableColumn id="3" xr3:uid="{902429B2-58E3-4487-A4A7-43B0A745B462}" name="First" dataDxfId="74" totalsRowDxfId="75"/>
    <tableColumn id="4" xr3:uid="{D90D43B9-77DB-45A6-8CF8-5E1633DE9B55}" name="Gender" dataDxfId="72" totalsRowDxfId="73"/>
    <tableColumn id="5" xr3:uid="{29FD51B0-87E7-4B6C-9CA5-1B9158283CBE}" name="Email">
      <calculatedColumnFormula>LOWER(C6&amp;"."&amp;B6&amp;"@pushpin.com")</calculatedColumnFormula>
    </tableColumn>
    <tableColumn id="6" xr3:uid="{8C8599DC-3DF8-4CA5-AA1D-E7BABD7CD5C1}" name="Date of Hire" dataDxfId="70" totalsRowDxfId="71"/>
    <tableColumn id="7" xr3:uid="{5C5EEB4E-6358-496C-9F0E-272A7CF706A9}" name="Years Service" totalsRowFunction="average" dataDxfId="69" totalsRowDxfId="12">
      <calculatedColumnFormula>YEARFRAC(F6,TODAY())</calculatedColumnFormula>
    </tableColumn>
    <tableColumn id="8" xr3:uid="{3A3FA69D-A32F-417C-8FB9-906CEB8A3744}" name="Department" dataDxfId="67" totalsRowDxfId="68"/>
    <tableColumn id="9" xr3:uid="{472560C9-2787-4562-B16E-C0FBDF29C8CC}" name="Location" dataDxfId="65" totalsRowDxfId="66"/>
    <tableColumn id="10" xr3:uid="{EA937079-A6E8-4BC4-A0DA-4E36049B4E2B}" name="Floor" dataDxfId="63" totalsRowDxfId="64">
      <calculatedColumnFormula>LEFT(I6,2)</calculatedColumnFormula>
    </tableColumn>
    <tableColumn id="11" xr3:uid="{FA97C22A-8639-41A6-9897-CA98FA6A4421}" name="Extension" dataDxfId="61" totalsRowDxfId="62">
      <calculatedColumnFormula>RIGHT(I6,4)</calculatedColumnFormula>
    </tableColumn>
    <tableColumn id="12" xr3:uid="{4DE3F423-2E8B-4E24-B2D3-50DF384B0794}" name="Last Review" dataDxfId="59" totalsRowDxfId="60"/>
    <tableColumn id="13" xr3:uid="{09850C72-E5D5-4D32-9670-D9821ABB0B72}" name="Next Review" dataDxfId="57" totalsRowDxfId="58">
      <calculatedColumnFormula>L6+365</calculatedColumnFormula>
    </tableColumn>
    <tableColumn id="14" xr3:uid="{C20BE404-CF3E-49EE-A57B-802AB732BB15}" name="Annual Salary" dataDxfId="55" totalsRowDxfId="56"/>
    <tableColumn id="15" xr3:uid="{1DF87209-A346-4FB9-9224-0623E44D968D}" name="Pension" totalsRowFunction="sum" dataDxfId="53" totalsRowDxfId="54">
      <calculatedColumnFormula>N6*Pension_Rate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5F3F1F-B610-4785-B4CE-70BDC8D77AC7}" name="HR_789" displayName="HR_789" ref="A5:O41" totalsRowCount="1" dataDxfId="52">
  <autoFilter ref="A5:O40" xr:uid="{00000000-000C-0000-FFFF-FFFF00000000}">
    <filterColumn colId="6">
      <dynamicFilter type="aboveAverage" val="15.215317460317461"/>
    </filterColumn>
  </autoFilter>
  <sortState xmlns:xlrd2="http://schemas.microsoft.com/office/spreadsheetml/2017/richdata2" ref="A6:O40">
    <sortCondition descending="1" ref="F5:F40"/>
  </sortState>
  <tableColumns count="15">
    <tableColumn id="1" xr3:uid="{17E1F0CA-2C9B-479B-B985-4C7F615297EB}" name="Emp ID" totalsRowFunction="count" dataDxfId="51" totalsRowDxfId="5"/>
    <tableColumn id="2" xr3:uid="{9BB94FC1-82FC-4394-A528-CB311C270F7F}" name="Last"/>
    <tableColumn id="3" xr3:uid="{BBD90092-BF74-47B4-81C0-5CAF13AA740B}" name="First" dataDxfId="49" totalsRowDxfId="50"/>
    <tableColumn id="4" xr3:uid="{01F221C0-052D-41A7-BB2E-64C5DD17076C}" name="Gender" dataDxfId="47" totalsRowDxfId="48"/>
    <tableColumn id="5" xr3:uid="{B7903FAA-2A32-472B-9F76-222CD820F227}" name="Email">
      <calculatedColumnFormula>LOWER(C6&amp;"."&amp;B6&amp;"@pushpin.com")</calculatedColumnFormula>
    </tableColumn>
    <tableColumn id="6" xr3:uid="{06FD82C7-529D-4112-AEFF-395C9601DDE1}" name="Date of Hire" dataDxfId="45" totalsRowDxfId="46"/>
    <tableColumn id="7" xr3:uid="{FCC617DB-241B-4EA1-A55D-F5142F1235D1}" name="Years Service" totalsRowFunction="average" dataDxfId="44" totalsRowDxfId="4">
      <calculatedColumnFormula>YEARFRAC(F6,TODAY())</calculatedColumnFormula>
    </tableColumn>
    <tableColumn id="8" xr3:uid="{F020E65F-8426-4479-9535-A953450F2F48}" name="Department" dataDxfId="42" totalsRowDxfId="43"/>
    <tableColumn id="9" xr3:uid="{10DE85EE-70B4-4BAF-948C-FD5769460BD9}" name="Location" dataDxfId="40" totalsRowDxfId="41"/>
    <tableColumn id="10" xr3:uid="{27652A53-1A4B-4293-AAB0-A69E2F11D806}" name="Floor" dataDxfId="38" totalsRowDxfId="39">
      <calculatedColumnFormula>LEFT(I6,2)</calculatedColumnFormula>
    </tableColumn>
    <tableColumn id="11" xr3:uid="{9381AB8A-DCB2-4B9B-A47E-7E308421F2B4}" name="Extension" dataDxfId="36" totalsRowDxfId="37">
      <calculatedColumnFormula>RIGHT(I6,4)</calculatedColumnFormula>
    </tableColumn>
    <tableColumn id="12" xr3:uid="{014D560B-A3C4-4A96-AED4-BACFF4D64442}" name="Last Review" dataDxfId="34" totalsRowDxfId="35"/>
    <tableColumn id="13" xr3:uid="{691D519D-7160-4767-96A3-B4C235AD8E01}" name="Next Review" dataDxfId="32" totalsRowDxfId="33">
      <calculatedColumnFormula>L6+365</calculatedColumnFormula>
    </tableColumn>
    <tableColumn id="14" xr3:uid="{321565EB-D794-4F27-B98B-D83DECC7D377}" name="Annual Salary" dataDxfId="30" totalsRowDxfId="31"/>
    <tableColumn id="15" xr3:uid="{CA0D9E67-4AC7-4BBF-93D3-121212712265}" name="Pension" totalsRowFunction="sum" dataDxfId="28" totalsRowDxfId="29">
      <calculatedColumnFormula>N6*Pension_Rate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5:D21" totalsRowShown="0">
  <autoFilter ref="A15:D21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Department" dataDxfId="120"/>
    <tableColumn id="2" xr3:uid="{00000000-0010-0000-0100-000002000000}" name="Total Salary" dataDxfId="119">
      <calculatedColumnFormula>SUMIFS(Annual_Salary,Department,A16)</calculatedColumnFormula>
    </tableColumn>
    <tableColumn id="3" xr3:uid="{00000000-0010-0000-0100-000003000000}" name="M" dataDxfId="118">
      <calculatedColumnFormula>SUMIFS(Annual_Salary,Department,A16,Gender,$C$15)</calculatedColumnFormula>
    </tableColumn>
    <tableColumn id="4" xr3:uid="{00000000-0010-0000-0100-000004000000}" name="F" dataDxfId="117">
      <calculatedColumnFormula>SUMIFS(Annual_Salary,Department,A16,Gender,$D$15)</calculatedColumnFormula>
    </tableColumn>
  </tableColumns>
  <tableStyleInfo name="TableStyleMedium16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zoomScale="90" zoomScaleNormal="90" workbookViewId="0">
      <selection activeCell="Q8" sqref="Q8"/>
    </sheetView>
  </sheetViews>
  <sheetFormatPr defaultRowHeight="15" x14ac:dyDescent="0.25"/>
  <cols>
    <col min="1" max="1" width="9.140625" style="3" customWidth="1"/>
    <col min="2" max="2" width="13" customWidth="1"/>
    <col min="3" max="3" width="11.85546875" customWidth="1"/>
    <col min="4" max="4" width="9.5703125" style="3" customWidth="1"/>
    <col min="5" max="5" width="29.140625" bestFit="1" customWidth="1"/>
    <col min="6" max="6" width="14" style="3" customWidth="1"/>
    <col min="7" max="7" width="14.85546875" customWidth="1"/>
    <col min="8" max="8" width="17.570312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42578125" customWidth="1"/>
    <col min="14" max="14" width="15.140625" customWidth="1"/>
    <col min="15" max="15" width="14.5703125" customWidth="1"/>
  </cols>
  <sheetData>
    <row r="1" spans="1:16" ht="28.5" x14ac:dyDescent="0.45">
      <c r="A1" s="18" t="s">
        <v>95</v>
      </c>
      <c r="O1" s="14" t="s">
        <v>161</v>
      </c>
      <c r="P1" s="15">
        <v>0.09</v>
      </c>
    </row>
    <row r="3" spans="1:16" x14ac:dyDescent="0.25">
      <c r="A3" t="s">
        <v>0</v>
      </c>
      <c r="B3" t="s">
        <v>1</v>
      </c>
      <c r="C3" t="s">
        <v>2</v>
      </c>
      <c r="D3" t="s">
        <v>164</v>
      </c>
      <c r="E3" t="s">
        <v>3</v>
      </c>
      <c r="F3" t="s">
        <v>4</v>
      </c>
      <c r="G3" t="s">
        <v>62</v>
      </c>
      <c r="H3" t="s">
        <v>5</v>
      </c>
      <c r="I3" t="s">
        <v>6</v>
      </c>
      <c r="J3" t="s">
        <v>60</v>
      </c>
      <c r="K3" t="s">
        <v>7</v>
      </c>
      <c r="L3" t="s">
        <v>132</v>
      </c>
      <c r="M3" t="s">
        <v>133</v>
      </c>
      <c r="N3" t="s">
        <v>170</v>
      </c>
      <c r="O3" t="s">
        <v>160</v>
      </c>
    </row>
    <row r="4" spans="1:16" x14ac:dyDescent="0.25">
      <c r="A4" s="3" t="s">
        <v>94</v>
      </c>
      <c r="B4" t="s">
        <v>145</v>
      </c>
      <c r="C4" s="2" t="s">
        <v>16</v>
      </c>
      <c r="D4" s="19" t="s">
        <v>166</v>
      </c>
      <c r="E4" t="str">
        <f t="shared" ref="E4:E38" si="0">LOWER(C4&amp;"."&amp;B4&amp;"@pushpin.com")</f>
        <v>elizabeth.clark@pushpin.com</v>
      </c>
      <c r="F4" s="7">
        <v>42874</v>
      </c>
      <c r="G4" s="4">
        <f t="shared" ref="G4:G38" ca="1" si="1">YEARFRAC(F4,TODAY())</f>
        <v>9.4</v>
      </c>
      <c r="H4" s="1" t="s">
        <v>24</v>
      </c>
      <c r="I4" s="5" t="s">
        <v>107</v>
      </c>
      <c r="J4" s="6" t="str">
        <f t="shared" ref="J4:J38" si="2">LEFT(I4,2)</f>
        <v>02</v>
      </c>
      <c r="K4" s="6" t="str">
        <f t="shared" ref="K4:K38" si="3">RIGHT(I4,4)</f>
        <v>2414</v>
      </c>
      <c r="L4" s="7">
        <v>42720</v>
      </c>
      <c r="M4" s="7">
        <f t="shared" ref="M4:M38" si="4">L4+365</f>
        <v>43085</v>
      </c>
      <c r="N4" s="8">
        <v>37000</v>
      </c>
      <c r="O4" s="16">
        <f t="shared" ref="O4:O38" si="5">N4*Pension_Rate</f>
        <v>3330</v>
      </c>
    </row>
    <row r="5" spans="1:16" x14ac:dyDescent="0.25">
      <c r="A5" s="3" t="s">
        <v>92</v>
      </c>
      <c r="B5" t="s">
        <v>35</v>
      </c>
      <c r="C5" s="2" t="s">
        <v>34</v>
      </c>
      <c r="D5" s="19" t="s">
        <v>166</v>
      </c>
      <c r="E5" t="str">
        <f t="shared" si="0"/>
        <v>phoebe.gour@pushpin.com</v>
      </c>
      <c r="F5" s="7">
        <v>42721</v>
      </c>
      <c r="G5" s="4">
        <f t="shared" ca="1" si="1"/>
        <v>9.8222222222222229</v>
      </c>
      <c r="H5" s="1" t="s">
        <v>55</v>
      </c>
      <c r="I5" s="5" t="s">
        <v>126</v>
      </c>
      <c r="J5" s="6" t="str">
        <f t="shared" si="2"/>
        <v>02</v>
      </c>
      <c r="K5" s="6" t="str">
        <f t="shared" si="3"/>
        <v>2910</v>
      </c>
      <c r="L5" s="7">
        <v>42539</v>
      </c>
      <c r="M5" s="7">
        <f t="shared" si="4"/>
        <v>42904</v>
      </c>
      <c r="N5" s="8">
        <v>40500</v>
      </c>
      <c r="O5" s="16">
        <f t="shared" si="5"/>
        <v>3645</v>
      </c>
    </row>
    <row r="6" spans="1:16" x14ac:dyDescent="0.25">
      <c r="A6" s="3" t="s">
        <v>91</v>
      </c>
      <c r="B6" t="s">
        <v>158</v>
      </c>
      <c r="C6" s="2" t="s">
        <v>58</v>
      </c>
      <c r="D6" s="19" t="s">
        <v>165</v>
      </c>
      <c r="E6" t="str">
        <f t="shared" si="0"/>
        <v>sean.sanders@pushpin.com</v>
      </c>
      <c r="F6" s="7">
        <v>42691</v>
      </c>
      <c r="G6" s="4">
        <f t="shared" ca="1" si="1"/>
        <v>9.905555555555555</v>
      </c>
      <c r="H6" s="1" t="s">
        <v>17</v>
      </c>
      <c r="I6" s="5" t="s">
        <v>113</v>
      </c>
      <c r="J6" s="6" t="str">
        <f t="shared" si="2"/>
        <v>03</v>
      </c>
      <c r="K6" s="6" t="str">
        <f t="shared" si="3"/>
        <v>2765</v>
      </c>
      <c r="L6" s="7">
        <v>42566</v>
      </c>
      <c r="M6" s="7">
        <f t="shared" si="4"/>
        <v>42931</v>
      </c>
      <c r="N6" s="8">
        <v>38600</v>
      </c>
      <c r="O6" s="16">
        <f t="shared" si="5"/>
        <v>3474</v>
      </c>
    </row>
    <row r="7" spans="1:16" x14ac:dyDescent="0.25">
      <c r="A7" s="3" t="s">
        <v>90</v>
      </c>
      <c r="B7" t="s">
        <v>45</v>
      </c>
      <c r="C7" s="2" t="s">
        <v>44</v>
      </c>
      <c r="D7" s="19" t="s">
        <v>166</v>
      </c>
      <c r="E7" t="str">
        <f t="shared" si="0"/>
        <v>yvette.biti@pushpin.com</v>
      </c>
      <c r="F7" s="7">
        <v>42384</v>
      </c>
      <c r="G7" s="4">
        <f t="shared" ca="1" si="1"/>
        <v>10.744444444444444</v>
      </c>
      <c r="H7" s="1" t="s">
        <v>55</v>
      </c>
      <c r="I7" s="5" t="s">
        <v>100</v>
      </c>
      <c r="J7" s="6" t="str">
        <f t="shared" si="2"/>
        <v>02</v>
      </c>
      <c r="K7" s="6" t="str">
        <f t="shared" si="3"/>
        <v>2589</v>
      </c>
      <c r="L7" s="7">
        <v>42839</v>
      </c>
      <c r="M7" s="7">
        <f t="shared" si="4"/>
        <v>43204</v>
      </c>
      <c r="N7" s="8">
        <v>51400</v>
      </c>
      <c r="O7" s="16">
        <f t="shared" si="5"/>
        <v>4626</v>
      </c>
    </row>
    <row r="8" spans="1:16" x14ac:dyDescent="0.25">
      <c r="A8" s="3" t="s">
        <v>89</v>
      </c>
      <c r="B8" t="s">
        <v>152</v>
      </c>
      <c r="C8" s="2" t="s">
        <v>25</v>
      </c>
      <c r="D8" s="19" t="s">
        <v>165</v>
      </c>
      <c r="E8" t="str">
        <f t="shared" si="0"/>
        <v>mark.ellis@pushpin.com</v>
      </c>
      <c r="F8" s="7">
        <v>42371</v>
      </c>
      <c r="G8" s="4">
        <f t="shared" ca="1" si="1"/>
        <v>10.780555555555555</v>
      </c>
      <c r="H8" s="1" t="s">
        <v>59</v>
      </c>
      <c r="I8" s="5" t="s">
        <v>111</v>
      </c>
      <c r="J8" s="6" t="str">
        <f t="shared" si="2"/>
        <v>03</v>
      </c>
      <c r="K8" s="6" t="str">
        <f t="shared" si="3"/>
        <v>2482</v>
      </c>
      <c r="L8" s="7">
        <v>42619</v>
      </c>
      <c r="M8" s="7">
        <f t="shared" si="4"/>
        <v>42984</v>
      </c>
      <c r="N8" s="8">
        <v>58500</v>
      </c>
      <c r="O8" s="16">
        <f t="shared" si="5"/>
        <v>5265</v>
      </c>
    </row>
    <row r="9" spans="1:16" x14ac:dyDescent="0.25">
      <c r="A9" s="3" t="s">
        <v>88</v>
      </c>
      <c r="B9" t="s">
        <v>54</v>
      </c>
      <c r="C9" s="2" t="s">
        <v>52</v>
      </c>
      <c r="D9" s="19" t="s">
        <v>166</v>
      </c>
      <c r="E9" t="str">
        <f t="shared" si="0"/>
        <v>radhya.senome@pushpin.com</v>
      </c>
      <c r="F9" s="7">
        <v>42324</v>
      </c>
      <c r="G9" s="4">
        <f t="shared" ca="1" si="1"/>
        <v>10.908333333333333</v>
      </c>
      <c r="H9" s="1" t="s">
        <v>55</v>
      </c>
      <c r="I9" s="5" t="s">
        <v>128</v>
      </c>
      <c r="J9" s="6" t="str">
        <f t="shared" si="2"/>
        <v>02</v>
      </c>
      <c r="K9" s="6" t="str">
        <f t="shared" si="3"/>
        <v>2260</v>
      </c>
      <c r="L9" s="7">
        <v>42563</v>
      </c>
      <c r="M9" s="7">
        <f t="shared" si="4"/>
        <v>42928</v>
      </c>
      <c r="N9" s="8">
        <v>35600</v>
      </c>
      <c r="O9" s="16">
        <f t="shared" si="5"/>
        <v>3204</v>
      </c>
    </row>
    <row r="10" spans="1:16" x14ac:dyDescent="0.25">
      <c r="A10" s="3" t="s">
        <v>87</v>
      </c>
      <c r="B10" t="s">
        <v>53</v>
      </c>
      <c r="C10" s="2" t="s">
        <v>115</v>
      </c>
      <c r="D10" s="19" t="s">
        <v>165</v>
      </c>
      <c r="E10" t="str">
        <f t="shared" si="0"/>
        <v>peter.staples@pushpin.com</v>
      </c>
      <c r="F10" s="7">
        <v>42321</v>
      </c>
      <c r="G10" s="4">
        <f t="shared" ca="1" si="1"/>
        <v>10.916666666666666</v>
      </c>
      <c r="H10" s="1" t="s">
        <v>55</v>
      </c>
      <c r="I10" s="5" t="s">
        <v>130</v>
      </c>
      <c r="J10" s="6" t="str">
        <f t="shared" si="2"/>
        <v>02</v>
      </c>
      <c r="K10" s="6" t="str">
        <f t="shared" si="3"/>
        <v>2654</v>
      </c>
      <c r="L10" s="7">
        <v>42551</v>
      </c>
      <c r="M10" s="7">
        <f t="shared" si="4"/>
        <v>42916</v>
      </c>
      <c r="N10" s="8">
        <v>49600</v>
      </c>
      <c r="O10" s="16">
        <f t="shared" si="5"/>
        <v>4464</v>
      </c>
    </row>
    <row r="11" spans="1:16" x14ac:dyDescent="0.25">
      <c r="A11" s="3" t="s">
        <v>86</v>
      </c>
      <c r="B11" t="s">
        <v>156</v>
      </c>
      <c r="C11" s="2" t="s">
        <v>157</v>
      </c>
      <c r="D11" s="19" t="s">
        <v>165</v>
      </c>
      <c r="E11" t="str">
        <f t="shared" si="0"/>
        <v>carlos.martinez@pushpin.com</v>
      </c>
      <c r="F11" s="7">
        <v>42229</v>
      </c>
      <c r="G11" s="4">
        <f t="shared" ca="1" si="1"/>
        <v>11.166666666666666</v>
      </c>
      <c r="H11" s="1" t="s">
        <v>17</v>
      </c>
      <c r="I11" s="5" t="s">
        <v>99</v>
      </c>
      <c r="J11" s="6" t="str">
        <f t="shared" si="2"/>
        <v>03</v>
      </c>
      <c r="K11" s="6" t="str">
        <f t="shared" si="3"/>
        <v>2764</v>
      </c>
      <c r="L11" s="7">
        <v>42845</v>
      </c>
      <c r="M11" s="7">
        <f t="shared" si="4"/>
        <v>43210</v>
      </c>
      <c r="N11" s="8">
        <v>47900</v>
      </c>
      <c r="O11" s="16">
        <f t="shared" si="5"/>
        <v>4311</v>
      </c>
    </row>
    <row r="12" spans="1:16" x14ac:dyDescent="0.25">
      <c r="A12" s="3" t="s">
        <v>85</v>
      </c>
      <c r="B12" t="s">
        <v>151</v>
      </c>
      <c r="C12" s="2" t="s">
        <v>26</v>
      </c>
      <c r="D12" s="19" t="s">
        <v>166</v>
      </c>
      <c r="E12" t="str">
        <f t="shared" si="0"/>
        <v>alexandra.donnell@pushpin.com</v>
      </c>
      <c r="F12" s="7">
        <v>42228</v>
      </c>
      <c r="G12" s="4">
        <f t="shared" ca="1" si="1"/>
        <v>11.169444444444444</v>
      </c>
      <c r="H12" s="1" t="s">
        <v>15</v>
      </c>
      <c r="I12" s="5" t="s">
        <v>110</v>
      </c>
      <c r="J12" s="6" t="str">
        <f t="shared" si="2"/>
        <v>03</v>
      </c>
      <c r="K12" s="6" t="str">
        <f t="shared" si="3"/>
        <v>2082</v>
      </c>
      <c r="L12" s="7">
        <v>42629</v>
      </c>
      <c r="M12" s="7">
        <f t="shared" si="4"/>
        <v>42994</v>
      </c>
      <c r="N12" s="8">
        <v>54900</v>
      </c>
      <c r="O12" s="16">
        <f t="shared" si="5"/>
        <v>4941</v>
      </c>
    </row>
    <row r="13" spans="1:16" x14ac:dyDescent="0.25">
      <c r="A13" s="3" t="s">
        <v>84</v>
      </c>
      <c r="B13" t="s">
        <v>37</v>
      </c>
      <c r="C13" s="2" t="s">
        <v>36</v>
      </c>
      <c r="D13" s="19" t="s">
        <v>165</v>
      </c>
      <c r="E13" t="str">
        <f t="shared" si="0"/>
        <v>leighton.forrest@pushpin.com</v>
      </c>
      <c r="F13" s="7">
        <v>42120</v>
      </c>
      <c r="G13" s="4">
        <f t="shared" ca="1" si="1"/>
        <v>11.463888888888889</v>
      </c>
      <c r="H13" s="1" t="s">
        <v>55</v>
      </c>
      <c r="I13" s="5" t="s">
        <v>125</v>
      </c>
      <c r="J13" s="6" t="str">
        <f t="shared" si="2"/>
        <v>02</v>
      </c>
      <c r="K13" s="6" t="str">
        <f t="shared" si="3"/>
        <v>2284</v>
      </c>
      <c r="L13" s="7">
        <v>42586</v>
      </c>
      <c r="M13" s="7">
        <f t="shared" si="4"/>
        <v>42951</v>
      </c>
      <c r="N13" s="8">
        <v>56200</v>
      </c>
      <c r="O13" s="16">
        <f t="shared" si="5"/>
        <v>5058</v>
      </c>
    </row>
    <row r="14" spans="1:16" x14ac:dyDescent="0.25">
      <c r="A14" s="3" t="s">
        <v>83</v>
      </c>
      <c r="B14" t="s">
        <v>41</v>
      </c>
      <c r="C14" s="2" t="s">
        <v>40</v>
      </c>
      <c r="D14" s="19" t="s">
        <v>166</v>
      </c>
      <c r="E14" t="str">
        <f t="shared" si="0"/>
        <v>aanya.zhang@pushpin.com</v>
      </c>
      <c r="F14" s="7">
        <v>42002</v>
      </c>
      <c r="G14" s="4">
        <f t="shared" ca="1" si="1"/>
        <v>11.78888888888889</v>
      </c>
      <c r="H14" s="1" t="s">
        <v>55</v>
      </c>
      <c r="I14" s="5" t="s">
        <v>131</v>
      </c>
      <c r="J14" s="6" t="str">
        <f t="shared" si="2"/>
        <v>02</v>
      </c>
      <c r="K14" s="6" t="str">
        <f t="shared" si="3"/>
        <v>2793</v>
      </c>
      <c r="L14" s="7">
        <v>42540</v>
      </c>
      <c r="M14" s="7">
        <f t="shared" si="4"/>
        <v>42905</v>
      </c>
      <c r="N14" s="8">
        <v>46500</v>
      </c>
      <c r="O14" s="16">
        <f t="shared" si="5"/>
        <v>4185</v>
      </c>
    </row>
    <row r="15" spans="1:16" x14ac:dyDescent="0.25">
      <c r="A15" s="3" t="s">
        <v>82</v>
      </c>
      <c r="B15" t="s">
        <v>145</v>
      </c>
      <c r="C15" s="2" t="s">
        <v>146</v>
      </c>
      <c r="D15" s="19" t="s">
        <v>166</v>
      </c>
      <c r="E15" t="str">
        <f t="shared" si="0"/>
        <v>anna.clark@pushpin.com</v>
      </c>
      <c r="F15" s="7">
        <v>41989</v>
      </c>
      <c r="G15" s="4">
        <f t="shared" ca="1" si="1"/>
        <v>11.824999999999999</v>
      </c>
      <c r="H15" s="1" t="s">
        <v>15</v>
      </c>
      <c r="I15" s="5" t="s">
        <v>106</v>
      </c>
      <c r="J15" s="6" t="str">
        <f t="shared" si="2"/>
        <v>03</v>
      </c>
      <c r="K15" s="6" t="str">
        <f t="shared" si="3"/>
        <v>2601</v>
      </c>
      <c r="L15" s="7">
        <v>42731</v>
      </c>
      <c r="M15" s="7">
        <f t="shared" si="4"/>
        <v>43096</v>
      </c>
      <c r="N15" s="8">
        <v>58500</v>
      </c>
      <c r="O15" s="16">
        <f t="shared" si="5"/>
        <v>5265</v>
      </c>
    </row>
    <row r="16" spans="1:16" x14ac:dyDescent="0.25">
      <c r="A16" s="3" t="s">
        <v>81</v>
      </c>
      <c r="B16" t="s">
        <v>43</v>
      </c>
      <c r="C16" s="2" t="s">
        <v>42</v>
      </c>
      <c r="D16" s="19" t="s">
        <v>165</v>
      </c>
      <c r="E16" t="str">
        <f t="shared" si="0"/>
        <v>connor.betts@pushpin.com</v>
      </c>
      <c r="F16" s="7">
        <v>41956</v>
      </c>
      <c r="G16" s="4">
        <f t="shared" ca="1" si="1"/>
        <v>11.916666666666666</v>
      </c>
      <c r="H16" s="1" t="s">
        <v>55</v>
      </c>
      <c r="I16" s="5" t="s">
        <v>98</v>
      </c>
      <c r="J16" s="6" t="str">
        <f t="shared" si="2"/>
        <v>02</v>
      </c>
      <c r="K16" s="6" t="str">
        <f t="shared" si="3"/>
        <v>2347</v>
      </c>
      <c r="L16" s="7">
        <v>42848</v>
      </c>
      <c r="M16" s="7">
        <f t="shared" si="4"/>
        <v>43213</v>
      </c>
      <c r="N16" s="8">
        <v>52600</v>
      </c>
      <c r="O16" s="16">
        <f t="shared" si="5"/>
        <v>4734</v>
      </c>
    </row>
    <row r="17" spans="1:15" x14ac:dyDescent="0.25">
      <c r="A17" s="3" t="s">
        <v>80</v>
      </c>
      <c r="B17" t="s">
        <v>47</v>
      </c>
      <c r="C17" s="2" t="s">
        <v>46</v>
      </c>
      <c r="D17" s="19" t="s">
        <v>165</v>
      </c>
      <c r="E17" t="str">
        <f t="shared" si="0"/>
        <v>charlie.bui@pushpin.com</v>
      </c>
      <c r="F17" s="7">
        <v>41903</v>
      </c>
      <c r="G17" s="4">
        <f t="shared" ca="1" si="1"/>
        <v>12.061111111111112</v>
      </c>
      <c r="H17" s="1" t="s">
        <v>55</v>
      </c>
      <c r="I17" s="5" t="s">
        <v>117</v>
      </c>
      <c r="J17" s="6" t="str">
        <f t="shared" si="2"/>
        <v>02</v>
      </c>
      <c r="K17" s="6" t="str">
        <f t="shared" si="3"/>
        <v>2694</v>
      </c>
      <c r="L17" s="7">
        <v>42828</v>
      </c>
      <c r="M17" s="7">
        <f t="shared" si="4"/>
        <v>43193</v>
      </c>
      <c r="N17" s="8">
        <v>54700</v>
      </c>
      <c r="O17" s="16">
        <f t="shared" si="5"/>
        <v>4923</v>
      </c>
    </row>
    <row r="18" spans="1:15" x14ac:dyDescent="0.25">
      <c r="A18" s="3" t="s">
        <v>79</v>
      </c>
      <c r="B18" t="s">
        <v>139</v>
      </c>
      <c r="C18" s="2" t="s">
        <v>27</v>
      </c>
      <c r="D18" s="19" t="s">
        <v>165</v>
      </c>
      <c r="E18" t="str">
        <f t="shared" si="0"/>
        <v>jim.boller@pushpin.com</v>
      </c>
      <c r="F18" s="7">
        <v>41893</v>
      </c>
      <c r="G18" s="4">
        <f t="shared" ca="1" si="1"/>
        <v>12.088888888888889</v>
      </c>
      <c r="H18" s="1" t="s">
        <v>15</v>
      </c>
      <c r="I18" s="5" t="s">
        <v>116</v>
      </c>
      <c r="J18" s="6" t="str">
        <f t="shared" si="2"/>
        <v>03</v>
      </c>
      <c r="K18" s="6" t="str">
        <f t="shared" si="3"/>
        <v>2318</v>
      </c>
      <c r="L18" s="7">
        <v>42835</v>
      </c>
      <c r="M18" s="7">
        <f t="shared" si="4"/>
        <v>43200</v>
      </c>
      <c r="N18" s="8">
        <v>62800</v>
      </c>
      <c r="O18" s="16">
        <f t="shared" si="5"/>
        <v>5652</v>
      </c>
    </row>
    <row r="19" spans="1:15" x14ac:dyDescent="0.25">
      <c r="A19" s="3" t="s">
        <v>78</v>
      </c>
      <c r="B19" t="s">
        <v>141</v>
      </c>
      <c r="C19" s="2" t="s">
        <v>27</v>
      </c>
      <c r="D19" s="19" t="s">
        <v>165</v>
      </c>
      <c r="E19" t="str">
        <f t="shared" si="0"/>
        <v>jim.chaffee@pushpin.com</v>
      </c>
      <c r="F19" s="7">
        <v>41787</v>
      </c>
      <c r="G19" s="4">
        <f t="shared" ca="1" si="1"/>
        <v>12.375</v>
      </c>
      <c r="H19" s="1" t="s">
        <v>13</v>
      </c>
      <c r="I19" s="5" t="s">
        <v>102</v>
      </c>
      <c r="J19" s="6" t="str">
        <f t="shared" si="2"/>
        <v>03</v>
      </c>
      <c r="K19" s="6" t="str">
        <f t="shared" si="3"/>
        <v>2432</v>
      </c>
      <c r="L19" s="7">
        <v>42804</v>
      </c>
      <c r="M19" s="7">
        <f t="shared" si="4"/>
        <v>43169</v>
      </c>
      <c r="N19" s="8">
        <v>42100</v>
      </c>
      <c r="O19" s="16">
        <f t="shared" si="5"/>
        <v>3789</v>
      </c>
    </row>
    <row r="20" spans="1:15" x14ac:dyDescent="0.25">
      <c r="A20" s="3" t="s">
        <v>77</v>
      </c>
      <c r="B20" t="s">
        <v>147</v>
      </c>
      <c r="C20" s="2" t="s">
        <v>20</v>
      </c>
      <c r="D20" s="19" t="s">
        <v>166</v>
      </c>
      <c r="E20" t="str">
        <f t="shared" si="0"/>
        <v>sabrina.cole@pushpin.com</v>
      </c>
      <c r="F20" s="7">
        <v>41401</v>
      </c>
      <c r="G20" s="4">
        <f t="shared" ca="1" si="1"/>
        <v>13.433333333333334</v>
      </c>
      <c r="H20" s="1" t="s">
        <v>24</v>
      </c>
      <c r="I20" s="5" t="s">
        <v>108</v>
      </c>
      <c r="J20" s="6" t="str">
        <f t="shared" si="2"/>
        <v>02</v>
      </c>
      <c r="K20" s="6" t="str">
        <f t="shared" si="3"/>
        <v>2537</v>
      </c>
      <c r="L20" s="7">
        <v>42710</v>
      </c>
      <c r="M20" s="7">
        <f t="shared" si="4"/>
        <v>43075</v>
      </c>
      <c r="N20" s="8">
        <v>45100</v>
      </c>
      <c r="O20" s="16">
        <f t="shared" si="5"/>
        <v>4059</v>
      </c>
    </row>
    <row r="21" spans="1:15" x14ac:dyDescent="0.25">
      <c r="A21" s="3" t="s">
        <v>76</v>
      </c>
      <c r="B21" t="s">
        <v>149</v>
      </c>
      <c r="C21" s="2" t="s">
        <v>19</v>
      </c>
      <c r="D21" s="19" t="s">
        <v>165</v>
      </c>
      <c r="E21" t="str">
        <f t="shared" si="0"/>
        <v>bob.decker@pushpin.com</v>
      </c>
      <c r="F21" s="7">
        <v>41210</v>
      </c>
      <c r="G21" s="4">
        <f t="shared" ca="1" si="1"/>
        <v>13.958333333333334</v>
      </c>
      <c r="H21" s="1" t="s">
        <v>59</v>
      </c>
      <c r="I21" s="5" t="s">
        <v>120</v>
      </c>
      <c r="J21" s="6" t="str">
        <f t="shared" si="2"/>
        <v>01</v>
      </c>
      <c r="K21" s="6" t="str">
        <f t="shared" si="3"/>
        <v>2086</v>
      </c>
      <c r="L21" s="7">
        <v>42656</v>
      </c>
      <c r="M21" s="7">
        <f t="shared" si="4"/>
        <v>43021</v>
      </c>
      <c r="N21" s="8">
        <v>49600</v>
      </c>
      <c r="O21" s="16">
        <f t="shared" si="5"/>
        <v>4464</v>
      </c>
    </row>
    <row r="22" spans="1:15" x14ac:dyDescent="0.25">
      <c r="A22" s="3" t="s">
        <v>75</v>
      </c>
      <c r="B22" t="s">
        <v>150</v>
      </c>
      <c r="C22" s="2" t="s">
        <v>28</v>
      </c>
      <c r="D22" s="19" t="s">
        <v>166</v>
      </c>
      <c r="E22" t="str">
        <f t="shared" si="0"/>
        <v>tina.desiato@pushpin.com</v>
      </c>
      <c r="F22" s="7">
        <v>41175</v>
      </c>
      <c r="G22" s="4">
        <f t="shared" ca="1" si="1"/>
        <v>14.055555555555555</v>
      </c>
      <c r="H22" t="s">
        <v>59</v>
      </c>
      <c r="I22" s="5" t="s">
        <v>121</v>
      </c>
      <c r="J22" s="6" t="str">
        <f t="shared" si="2"/>
        <v>01</v>
      </c>
      <c r="K22" s="6" t="str">
        <f t="shared" si="3"/>
        <v>2358</v>
      </c>
      <c r="L22" s="7">
        <v>42652</v>
      </c>
      <c r="M22" s="7">
        <f t="shared" si="4"/>
        <v>43017</v>
      </c>
      <c r="N22" s="8">
        <v>51700</v>
      </c>
      <c r="O22" s="16">
        <f t="shared" si="5"/>
        <v>4653</v>
      </c>
    </row>
    <row r="23" spans="1:15" x14ac:dyDescent="0.25">
      <c r="A23" s="3" t="s">
        <v>74</v>
      </c>
      <c r="B23" t="s">
        <v>142</v>
      </c>
      <c r="C23" s="2" t="s">
        <v>61</v>
      </c>
      <c r="D23" s="19" t="s">
        <v>166</v>
      </c>
      <c r="E23" t="str">
        <f t="shared" si="0"/>
        <v>uma.chaudri@pushpin.com</v>
      </c>
      <c r="F23" s="7">
        <v>40994</v>
      </c>
      <c r="G23" s="4">
        <f t="shared" ca="1" si="1"/>
        <v>14.547222222222222</v>
      </c>
      <c r="H23" s="1" t="s">
        <v>17</v>
      </c>
      <c r="I23" s="5" t="s">
        <v>119</v>
      </c>
      <c r="J23" s="6" t="str">
        <f t="shared" si="2"/>
        <v>03</v>
      </c>
      <c r="K23" s="6" t="str">
        <f t="shared" si="3"/>
        <v>2134</v>
      </c>
      <c r="L23" s="7">
        <v>42776</v>
      </c>
      <c r="M23" s="7">
        <f t="shared" si="4"/>
        <v>43141</v>
      </c>
      <c r="N23" s="8">
        <v>63200</v>
      </c>
      <c r="O23" s="16">
        <f t="shared" si="5"/>
        <v>5688</v>
      </c>
    </row>
    <row r="24" spans="1:15" x14ac:dyDescent="0.25">
      <c r="A24" s="3" t="s">
        <v>73</v>
      </c>
      <c r="B24" t="s">
        <v>39</v>
      </c>
      <c r="C24" s="2" t="s">
        <v>38</v>
      </c>
      <c r="D24" s="19" t="s">
        <v>166</v>
      </c>
      <c r="E24" t="str">
        <f t="shared" si="0"/>
        <v>natasha.song@pushpin.com</v>
      </c>
      <c r="F24" s="7">
        <v>40713</v>
      </c>
      <c r="G24" s="4">
        <f t="shared" ca="1" si="1"/>
        <v>15.316666666666666</v>
      </c>
      <c r="H24" s="1" t="s">
        <v>55</v>
      </c>
      <c r="I24" s="5" t="s">
        <v>129</v>
      </c>
      <c r="J24" s="6" t="str">
        <f t="shared" si="2"/>
        <v>02</v>
      </c>
      <c r="K24" s="6" t="str">
        <f t="shared" si="3"/>
        <v>2578</v>
      </c>
      <c r="L24" s="7">
        <v>42552</v>
      </c>
      <c r="M24" s="7">
        <f t="shared" si="4"/>
        <v>42917</v>
      </c>
      <c r="N24" s="8">
        <v>56000</v>
      </c>
      <c r="O24" s="16">
        <f t="shared" si="5"/>
        <v>5040</v>
      </c>
    </row>
    <row r="25" spans="1:15" x14ac:dyDescent="0.25">
      <c r="A25" s="3" t="s">
        <v>72</v>
      </c>
      <c r="B25" t="s">
        <v>31</v>
      </c>
      <c r="C25" s="2" t="s">
        <v>30</v>
      </c>
      <c r="D25" s="19" t="s">
        <v>166</v>
      </c>
      <c r="E25" t="str">
        <f t="shared" si="0"/>
        <v>samantha.chairs@pushpin.com</v>
      </c>
      <c r="F25" s="7">
        <v>40595</v>
      </c>
      <c r="G25" s="4">
        <f t="shared" ca="1" si="1"/>
        <v>15.644444444444444</v>
      </c>
      <c r="H25" s="1" t="s">
        <v>55</v>
      </c>
      <c r="I25" s="5" t="s">
        <v>103</v>
      </c>
      <c r="J25" s="6" t="str">
        <f t="shared" si="2"/>
        <v>02</v>
      </c>
      <c r="K25" s="6" t="str">
        <f t="shared" si="3"/>
        <v>2962</v>
      </c>
      <c r="L25" s="7">
        <v>42801</v>
      </c>
      <c r="M25" s="7">
        <f t="shared" si="4"/>
        <v>43166</v>
      </c>
      <c r="N25" s="8">
        <v>59300</v>
      </c>
      <c r="O25" s="16">
        <f t="shared" si="5"/>
        <v>5337</v>
      </c>
    </row>
    <row r="26" spans="1:15" x14ac:dyDescent="0.25">
      <c r="A26" s="3" t="s">
        <v>71</v>
      </c>
      <c r="B26" t="s">
        <v>143</v>
      </c>
      <c r="C26" s="2" t="s">
        <v>16</v>
      </c>
      <c r="D26" s="19" t="s">
        <v>166</v>
      </c>
      <c r="E26" t="str">
        <f t="shared" si="0"/>
        <v>elizabeth.chu@pushpin.com</v>
      </c>
      <c r="F26" s="7">
        <v>40220</v>
      </c>
      <c r="G26" s="4">
        <f t="shared" ca="1" si="1"/>
        <v>16.672222222222221</v>
      </c>
      <c r="H26" s="1" t="s">
        <v>59</v>
      </c>
      <c r="I26" s="5" t="s">
        <v>104</v>
      </c>
      <c r="J26" s="6" t="str">
        <f t="shared" si="2"/>
        <v>01</v>
      </c>
      <c r="K26" s="6" t="str">
        <f t="shared" si="3"/>
        <v>2425</v>
      </c>
      <c r="L26" s="7">
        <v>42761</v>
      </c>
      <c r="M26" s="7">
        <f t="shared" si="4"/>
        <v>43126</v>
      </c>
      <c r="N26" s="8">
        <v>48400</v>
      </c>
      <c r="O26" s="16">
        <f t="shared" si="5"/>
        <v>4356</v>
      </c>
    </row>
    <row r="27" spans="1:15" x14ac:dyDescent="0.25">
      <c r="A27" s="3" t="s">
        <v>93</v>
      </c>
      <c r="B27" t="s">
        <v>159</v>
      </c>
      <c r="C27" s="2" t="s">
        <v>57</v>
      </c>
      <c r="D27" s="19" t="s">
        <v>166</v>
      </c>
      <c r="E27" t="str">
        <f t="shared" si="0"/>
        <v>mei.wang@pushpin.com</v>
      </c>
      <c r="F27" s="7">
        <v>40188</v>
      </c>
      <c r="G27" s="4">
        <f t="shared" ca="1" si="1"/>
        <v>16.758333333333333</v>
      </c>
      <c r="H27" s="1" t="s">
        <v>22</v>
      </c>
      <c r="I27" s="5" t="s">
        <v>114</v>
      </c>
      <c r="J27" s="6" t="str">
        <f t="shared" si="2"/>
        <v>01</v>
      </c>
      <c r="K27" s="6" t="str">
        <f t="shared" si="3"/>
        <v>2783</v>
      </c>
      <c r="L27" s="7">
        <v>42544</v>
      </c>
      <c r="M27" s="7">
        <f t="shared" si="4"/>
        <v>42909</v>
      </c>
      <c r="N27" s="8">
        <v>96400</v>
      </c>
      <c r="O27" s="16">
        <f t="shared" si="5"/>
        <v>8676</v>
      </c>
    </row>
    <row r="28" spans="1:15" x14ac:dyDescent="0.25">
      <c r="A28" s="3" t="s">
        <v>70</v>
      </c>
      <c r="B28" t="s">
        <v>33</v>
      </c>
      <c r="C28" s="2" t="s">
        <v>32</v>
      </c>
      <c r="D28" s="19" t="s">
        <v>165</v>
      </c>
      <c r="E28" t="str">
        <f t="shared" si="0"/>
        <v>mihael.khan@pushpin.com</v>
      </c>
      <c r="F28" s="7">
        <v>40160</v>
      </c>
      <c r="G28" s="4">
        <f t="shared" ca="1" si="1"/>
        <v>16.833333333333332</v>
      </c>
      <c r="H28" s="1" t="s">
        <v>55</v>
      </c>
      <c r="I28" s="5" t="s">
        <v>127</v>
      </c>
      <c r="J28" s="6" t="str">
        <f t="shared" si="2"/>
        <v>02</v>
      </c>
      <c r="K28" s="6" t="str">
        <f t="shared" si="3"/>
        <v>2294</v>
      </c>
      <c r="L28" s="7">
        <v>42566</v>
      </c>
      <c r="M28" s="7">
        <f t="shared" si="4"/>
        <v>42931</v>
      </c>
      <c r="N28" s="8">
        <v>55500</v>
      </c>
      <c r="O28" s="16">
        <f t="shared" si="5"/>
        <v>4995</v>
      </c>
    </row>
    <row r="29" spans="1:15" x14ac:dyDescent="0.25">
      <c r="A29" s="3" t="s">
        <v>69</v>
      </c>
      <c r="B29" t="s">
        <v>148</v>
      </c>
      <c r="C29" s="2" t="s">
        <v>18</v>
      </c>
      <c r="D29" s="19" t="s">
        <v>166</v>
      </c>
      <c r="E29" t="str">
        <f t="shared" si="0"/>
        <v>janet.comuntzis@pushpin.com</v>
      </c>
      <c r="F29" s="7">
        <v>39686</v>
      </c>
      <c r="G29" s="4">
        <f t="shared" ca="1" si="1"/>
        <v>18.130555555555556</v>
      </c>
      <c r="H29" s="1" t="s">
        <v>24</v>
      </c>
      <c r="I29" s="5" t="s">
        <v>109</v>
      </c>
      <c r="J29" s="6" t="str">
        <f t="shared" si="2"/>
        <v>02</v>
      </c>
      <c r="K29" s="6" t="str">
        <f t="shared" si="3"/>
        <v>2286</v>
      </c>
      <c r="L29" s="7">
        <v>42658</v>
      </c>
      <c r="M29" s="7">
        <f t="shared" si="4"/>
        <v>43023</v>
      </c>
      <c r="N29" s="8">
        <v>55800</v>
      </c>
      <c r="O29" s="16">
        <f t="shared" si="5"/>
        <v>5022</v>
      </c>
    </row>
    <row r="30" spans="1:15" x14ac:dyDescent="0.25">
      <c r="A30" s="3" t="s">
        <v>68</v>
      </c>
      <c r="B30" t="s">
        <v>49</v>
      </c>
      <c r="C30" s="2" t="s">
        <v>48</v>
      </c>
      <c r="D30" s="19" t="s">
        <v>165</v>
      </c>
      <c r="E30" t="str">
        <f t="shared" si="0"/>
        <v>stevie.bacata@pushpin.com</v>
      </c>
      <c r="F30" s="7">
        <v>39551</v>
      </c>
      <c r="G30" s="4">
        <f t="shared" ca="1" si="1"/>
        <v>18.5</v>
      </c>
      <c r="H30" s="1" t="s">
        <v>55</v>
      </c>
      <c r="I30" s="5" t="s">
        <v>96</v>
      </c>
      <c r="J30" s="6" t="str">
        <f t="shared" si="2"/>
        <v>02</v>
      </c>
      <c r="K30" s="6" t="str">
        <f t="shared" si="3"/>
        <v>2635</v>
      </c>
      <c r="L30" s="7">
        <v>42507</v>
      </c>
      <c r="M30" s="7">
        <f t="shared" si="4"/>
        <v>42872</v>
      </c>
      <c r="N30" s="8">
        <v>58200</v>
      </c>
      <c r="O30" s="16">
        <f t="shared" si="5"/>
        <v>5238</v>
      </c>
    </row>
    <row r="31" spans="1:15" x14ac:dyDescent="0.25">
      <c r="A31" s="3" t="s">
        <v>67</v>
      </c>
      <c r="B31" t="s">
        <v>51</v>
      </c>
      <c r="C31" s="2" t="s">
        <v>50</v>
      </c>
      <c r="D31" s="19" t="s">
        <v>165</v>
      </c>
      <c r="E31" t="str">
        <f t="shared" si="0"/>
        <v>nicholas.fernandes@pushpin.com</v>
      </c>
      <c r="F31" s="7">
        <v>39023</v>
      </c>
      <c r="G31" s="4">
        <f t="shared" ca="1" si="1"/>
        <v>19.947222222222223</v>
      </c>
      <c r="H31" s="1" t="s">
        <v>15</v>
      </c>
      <c r="I31" s="5" t="s">
        <v>122</v>
      </c>
      <c r="J31" s="6" t="str">
        <f t="shared" si="2"/>
        <v>02</v>
      </c>
      <c r="K31" s="6" t="str">
        <f t="shared" si="3"/>
        <v>2372</v>
      </c>
      <c r="L31" s="7">
        <v>42614</v>
      </c>
      <c r="M31" s="7">
        <f t="shared" si="4"/>
        <v>42979</v>
      </c>
      <c r="N31" s="8">
        <v>51600</v>
      </c>
      <c r="O31" s="16">
        <f t="shared" si="5"/>
        <v>4644</v>
      </c>
    </row>
    <row r="32" spans="1:15" x14ac:dyDescent="0.25">
      <c r="A32" s="3" t="s">
        <v>66</v>
      </c>
      <c r="B32" t="s">
        <v>29</v>
      </c>
      <c r="C32" s="2" t="s">
        <v>28</v>
      </c>
      <c r="D32" s="19" t="s">
        <v>166</v>
      </c>
      <c r="E32" t="str">
        <f t="shared" si="0"/>
        <v>tina.carlton@pushpin.com</v>
      </c>
      <c r="F32" s="7">
        <v>38798</v>
      </c>
      <c r="G32" s="4">
        <f t="shared" ca="1" si="1"/>
        <v>20.558333333333334</v>
      </c>
      <c r="H32" s="1" t="s">
        <v>55</v>
      </c>
      <c r="I32" s="5" t="s">
        <v>101</v>
      </c>
      <c r="J32" s="6" t="str">
        <f t="shared" si="2"/>
        <v>02</v>
      </c>
      <c r="K32" s="6" t="str">
        <f t="shared" si="3"/>
        <v>2699</v>
      </c>
      <c r="L32" s="7">
        <v>42825</v>
      </c>
      <c r="M32" s="7">
        <f t="shared" si="4"/>
        <v>43190</v>
      </c>
      <c r="N32" s="8">
        <v>59200</v>
      </c>
      <c r="O32" s="16">
        <f t="shared" si="5"/>
        <v>5328</v>
      </c>
    </row>
    <row r="33" spans="1:15" x14ac:dyDescent="0.25">
      <c r="A33" s="3" t="s">
        <v>65</v>
      </c>
      <c r="B33" t="s">
        <v>154</v>
      </c>
      <c r="C33" s="2" t="s">
        <v>14</v>
      </c>
      <c r="D33" s="19" t="s">
        <v>166</v>
      </c>
      <c r="E33" t="str">
        <f t="shared" si="0"/>
        <v>susan.filosa@pushpin.com</v>
      </c>
      <c r="F33" s="7">
        <v>38744</v>
      </c>
      <c r="G33" s="4">
        <f t="shared" ca="1" si="1"/>
        <v>20.711111111111112</v>
      </c>
      <c r="H33" s="1" t="s">
        <v>24</v>
      </c>
      <c r="I33" s="5" t="s">
        <v>112</v>
      </c>
      <c r="J33" s="6" t="str">
        <f t="shared" si="2"/>
        <v>02</v>
      </c>
      <c r="K33" s="6" t="str">
        <f t="shared" si="3"/>
        <v>2279</v>
      </c>
      <c r="L33" s="7">
        <v>42596</v>
      </c>
      <c r="M33" s="7">
        <f t="shared" si="4"/>
        <v>42961</v>
      </c>
      <c r="N33" s="8">
        <v>58400</v>
      </c>
      <c r="O33" s="16">
        <f t="shared" si="5"/>
        <v>5256</v>
      </c>
    </row>
    <row r="34" spans="1:15" x14ac:dyDescent="0.25">
      <c r="A34" s="3" t="s">
        <v>64</v>
      </c>
      <c r="B34" t="s">
        <v>153</v>
      </c>
      <c r="C34" s="2" t="s">
        <v>21</v>
      </c>
      <c r="D34" s="19" t="s">
        <v>166</v>
      </c>
      <c r="E34" t="str">
        <f t="shared" si="0"/>
        <v>mary.ferris@pushpin.com</v>
      </c>
      <c r="F34" s="7">
        <v>38548</v>
      </c>
      <c r="G34" s="4">
        <f t="shared" ca="1" si="1"/>
        <v>21.244444444444444</v>
      </c>
      <c r="H34" s="1" t="s">
        <v>55</v>
      </c>
      <c r="I34" s="5" t="s">
        <v>123</v>
      </c>
      <c r="J34" s="6" t="str">
        <f t="shared" si="2"/>
        <v>03</v>
      </c>
      <c r="K34" s="6" t="str">
        <f t="shared" si="3"/>
        <v>2392</v>
      </c>
      <c r="L34" s="7">
        <v>42598</v>
      </c>
      <c r="M34" s="7">
        <f t="shared" si="4"/>
        <v>42963</v>
      </c>
      <c r="N34" s="8">
        <v>62900</v>
      </c>
      <c r="O34" s="16">
        <f t="shared" si="5"/>
        <v>5661</v>
      </c>
    </row>
    <row r="35" spans="1:15" x14ac:dyDescent="0.25">
      <c r="A35" s="3" t="s">
        <v>63</v>
      </c>
      <c r="B35" t="s">
        <v>138</v>
      </c>
      <c r="C35" s="2" t="s">
        <v>12</v>
      </c>
      <c r="D35" s="19" t="s">
        <v>165</v>
      </c>
      <c r="E35" t="str">
        <f t="shared" si="0"/>
        <v>adam.barry@pushpin.com</v>
      </c>
      <c r="F35" s="7">
        <v>38099</v>
      </c>
      <c r="G35" s="4">
        <f t="shared" ca="1" si="1"/>
        <v>22.475000000000001</v>
      </c>
      <c r="H35" s="1" t="s">
        <v>24</v>
      </c>
      <c r="I35" s="5" t="s">
        <v>97</v>
      </c>
      <c r="J35" s="6" t="str">
        <f t="shared" si="2"/>
        <v>02</v>
      </c>
      <c r="K35" s="6" t="str">
        <f t="shared" si="3"/>
        <v>2018</v>
      </c>
      <c r="L35" s="7">
        <v>42860</v>
      </c>
      <c r="M35" s="7">
        <f t="shared" si="4"/>
        <v>43225</v>
      </c>
      <c r="N35" s="8">
        <v>59200</v>
      </c>
      <c r="O35" s="16">
        <f t="shared" si="5"/>
        <v>5328</v>
      </c>
    </row>
    <row r="36" spans="1:15" x14ac:dyDescent="0.25">
      <c r="A36" s="3" t="s">
        <v>11</v>
      </c>
      <c r="B36" t="s">
        <v>155</v>
      </c>
      <c r="C36" s="2" t="s">
        <v>10</v>
      </c>
      <c r="D36" s="19" t="s">
        <v>165</v>
      </c>
      <c r="E36" t="str">
        <f t="shared" si="0"/>
        <v>daniel.flanders@pushpin.com</v>
      </c>
      <c r="F36" s="7">
        <v>37510</v>
      </c>
      <c r="G36" s="4">
        <f t="shared" ca="1" si="1"/>
        <v>24.088888888888889</v>
      </c>
      <c r="H36" s="1" t="s">
        <v>55</v>
      </c>
      <c r="I36" s="5" t="s">
        <v>124</v>
      </c>
      <c r="J36" s="6" t="str">
        <f t="shared" si="2"/>
        <v>02</v>
      </c>
      <c r="K36" s="6" t="str">
        <f t="shared" si="3"/>
        <v>2639</v>
      </c>
      <c r="L36" s="7">
        <v>42590</v>
      </c>
      <c r="M36" s="7">
        <f t="shared" si="4"/>
        <v>42955</v>
      </c>
      <c r="N36" s="8">
        <v>68800</v>
      </c>
      <c r="O36" s="16">
        <f t="shared" si="5"/>
        <v>6192</v>
      </c>
    </row>
    <row r="37" spans="1:15" x14ac:dyDescent="0.25">
      <c r="A37" s="3" t="s">
        <v>9</v>
      </c>
      <c r="B37" t="s">
        <v>144</v>
      </c>
      <c r="C37" s="2" t="s">
        <v>56</v>
      </c>
      <c r="D37" s="19" t="s">
        <v>165</v>
      </c>
      <c r="E37" t="str">
        <f t="shared" si="0"/>
        <v>eric.chung@pushpin.com</v>
      </c>
      <c r="F37" s="7">
        <v>36949</v>
      </c>
      <c r="G37" s="4">
        <f t="shared" ca="1" si="1"/>
        <v>25.627777777777776</v>
      </c>
      <c r="H37" s="1" t="s">
        <v>59</v>
      </c>
      <c r="I37" s="5" t="s">
        <v>105</v>
      </c>
      <c r="J37" s="6" t="str">
        <f t="shared" si="2"/>
        <v>03</v>
      </c>
      <c r="K37" s="6" t="str">
        <f t="shared" si="3"/>
        <v>2796</v>
      </c>
      <c r="L37" s="7">
        <v>42731</v>
      </c>
      <c r="M37" s="7">
        <f t="shared" si="4"/>
        <v>43096</v>
      </c>
      <c r="N37" s="8">
        <v>70300</v>
      </c>
      <c r="O37" s="16">
        <f t="shared" si="5"/>
        <v>6327</v>
      </c>
    </row>
    <row r="38" spans="1:15" x14ac:dyDescent="0.25">
      <c r="A38" s="3" t="s">
        <v>8</v>
      </c>
      <c r="B38" t="s">
        <v>140</v>
      </c>
      <c r="C38" s="2" t="s">
        <v>23</v>
      </c>
      <c r="D38" s="19" t="s">
        <v>165</v>
      </c>
      <c r="E38" t="str">
        <f t="shared" si="0"/>
        <v>joe.carol@pushpin.com</v>
      </c>
      <c r="F38" s="7">
        <v>36923</v>
      </c>
      <c r="G38" s="4">
        <f t="shared" ca="1" si="1"/>
        <v>25.7</v>
      </c>
      <c r="H38" s="1" t="s">
        <v>22</v>
      </c>
      <c r="I38" s="5" t="s">
        <v>118</v>
      </c>
      <c r="J38" s="6" t="str">
        <f t="shared" si="2"/>
        <v>01</v>
      </c>
      <c r="K38" s="6" t="str">
        <f t="shared" si="3"/>
        <v>2321</v>
      </c>
      <c r="L38" s="7">
        <v>42817</v>
      </c>
      <c r="M38" s="7">
        <f t="shared" si="4"/>
        <v>43182</v>
      </c>
      <c r="N38" s="8">
        <v>101400</v>
      </c>
      <c r="O38" s="16">
        <f t="shared" si="5"/>
        <v>9126</v>
      </c>
    </row>
    <row r="39" spans="1:15" x14ac:dyDescent="0.25">
      <c r="A39" s="3">
        <f>SUBTOTAL(103,HR[Emp ID])</f>
        <v>35</v>
      </c>
      <c r="C39" s="2"/>
      <c r="D39" s="19"/>
      <c r="G39" s="4"/>
      <c r="H39" s="21"/>
      <c r="I39" s="22"/>
      <c r="J39" s="3"/>
      <c r="K39" s="3"/>
      <c r="L39" s="3"/>
      <c r="M39" s="3"/>
      <c r="N39" s="8"/>
      <c r="O39" s="16">
        <f>SUBTOTAL(109,HR[Pension])</f>
        <v>176256</v>
      </c>
    </row>
    <row r="41" spans="1:15" ht="15.75" x14ac:dyDescent="0.25">
      <c r="E41" s="13"/>
    </row>
    <row r="42" spans="1:15" ht="15.75" x14ac:dyDescent="0.25">
      <c r="E42" s="13"/>
    </row>
    <row r="43" spans="1:15" ht="15.75" x14ac:dyDescent="0.25">
      <c r="E43" s="13"/>
    </row>
  </sheetData>
  <sortState xmlns:xlrd2="http://schemas.microsoft.com/office/spreadsheetml/2017/richdata2" ref="A4:N38">
    <sortCondition ref="A7"/>
  </sortState>
  <conditionalFormatting sqref="M4:M38">
    <cfRule type="cellIs" dxfId="11" priority="1" operator="equal">
      <formula>0</formula>
    </cfRule>
    <cfRule type="expression" dxfId="10" priority="2">
      <formula>M4&lt;TODAY()</formula>
    </cfRule>
  </conditionalFormatting>
  <pageMargins left="0.7" right="0.7" top="0.75" bottom="0.75" header="0.3" footer="0.3"/>
  <pageSetup paperSize="9" orientation="portrait" horizontalDpi="75" verticalDpi="7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EE51-D70E-421C-BA3C-F206AAC80530}">
  <dimension ref="A1:P45"/>
  <sheetViews>
    <sheetView topLeftCell="A19" zoomScale="90" zoomScaleNormal="90" workbookViewId="0">
      <selection activeCell="R10" sqref="R10"/>
    </sheetView>
  </sheetViews>
  <sheetFormatPr defaultRowHeight="15" x14ac:dyDescent="0.25"/>
  <cols>
    <col min="1" max="1" width="9.140625" style="3" customWidth="1"/>
    <col min="2" max="2" width="13" customWidth="1"/>
    <col min="3" max="3" width="11.85546875" customWidth="1"/>
    <col min="4" max="4" width="9.5703125" style="3" customWidth="1"/>
    <col min="5" max="5" width="29.140625" bestFit="1" customWidth="1"/>
    <col min="6" max="6" width="14" style="3" customWidth="1"/>
    <col min="7" max="7" width="14.85546875" customWidth="1"/>
    <col min="8" max="8" width="17.570312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42578125" customWidth="1"/>
    <col min="14" max="14" width="15.140625" customWidth="1"/>
    <col min="15" max="15" width="11.42578125" bestFit="1" customWidth="1"/>
  </cols>
  <sheetData>
    <row r="1" spans="1:16" ht="28.5" x14ac:dyDescent="0.45">
      <c r="A1" s="18" t="s">
        <v>95</v>
      </c>
      <c r="O1" s="14" t="s">
        <v>161</v>
      </c>
      <c r="P1" s="15">
        <v>0.09</v>
      </c>
    </row>
    <row r="2" spans="1:16" ht="28.5" x14ac:dyDescent="0.45">
      <c r="A2" s="18"/>
    </row>
    <row r="3" spans="1:16" ht="28.5" x14ac:dyDescent="0.45">
      <c r="A3" s="18"/>
    </row>
    <row r="5" spans="1:16" x14ac:dyDescent="0.25">
      <c r="A5" t="s">
        <v>0</v>
      </c>
      <c r="B5" t="s">
        <v>1</v>
      </c>
      <c r="C5" t="s">
        <v>2</v>
      </c>
      <c r="D5" t="s">
        <v>164</v>
      </c>
      <c r="E5" t="s">
        <v>3</v>
      </c>
      <c r="F5" t="s">
        <v>4</v>
      </c>
      <c r="G5" t="s">
        <v>62</v>
      </c>
      <c r="H5" t="s">
        <v>5</v>
      </c>
      <c r="I5" t="s">
        <v>6</v>
      </c>
      <c r="J5" t="s">
        <v>60</v>
      </c>
      <c r="K5" t="s">
        <v>7</v>
      </c>
      <c r="L5" t="s">
        <v>132</v>
      </c>
      <c r="M5" t="s">
        <v>133</v>
      </c>
      <c r="N5" t="s">
        <v>170</v>
      </c>
      <c r="O5" t="s">
        <v>160</v>
      </c>
    </row>
    <row r="6" spans="1:16" x14ac:dyDescent="0.25">
      <c r="A6" s="3" t="s">
        <v>79</v>
      </c>
      <c r="B6" t="s">
        <v>139</v>
      </c>
      <c r="C6" s="2" t="s">
        <v>27</v>
      </c>
      <c r="D6" s="19" t="s">
        <v>165</v>
      </c>
      <c r="E6" t="str">
        <f>LOWER(C6&amp;"."&amp;B6&amp;"@pushpin.com")</f>
        <v>jim.boller@pushpin.com</v>
      </c>
      <c r="F6" s="7">
        <v>41893</v>
      </c>
      <c r="G6" s="4">
        <f ca="1">YEARFRAC(F6,TODAY())</f>
        <v>12.088888888888889</v>
      </c>
      <c r="H6" s="1" t="s">
        <v>15</v>
      </c>
      <c r="I6" s="5" t="s">
        <v>116</v>
      </c>
      <c r="J6" s="6" t="str">
        <f>LEFT(I6,2)</f>
        <v>03</v>
      </c>
      <c r="K6" s="6" t="str">
        <f>RIGHT(I6,4)</f>
        <v>2318</v>
      </c>
      <c r="L6" s="7">
        <v>42835</v>
      </c>
      <c r="M6" s="7">
        <f>L6+365</f>
        <v>43200</v>
      </c>
      <c r="N6" s="8">
        <v>62800</v>
      </c>
      <c r="O6" s="16">
        <f>N6*Pension_Rate</f>
        <v>5652</v>
      </c>
    </row>
    <row r="7" spans="1:16" x14ac:dyDescent="0.25">
      <c r="A7" s="3" t="s">
        <v>82</v>
      </c>
      <c r="B7" t="s">
        <v>145</v>
      </c>
      <c r="C7" s="2" t="s">
        <v>146</v>
      </c>
      <c r="D7" s="19" t="s">
        <v>166</v>
      </c>
      <c r="E7" t="str">
        <f>LOWER(C7&amp;"."&amp;B7&amp;"@pushpin.com")</f>
        <v>anna.clark@pushpin.com</v>
      </c>
      <c r="F7" s="7">
        <v>41989</v>
      </c>
      <c r="G7" s="4">
        <f ca="1">YEARFRAC(F7,TODAY())</f>
        <v>11.824999999999999</v>
      </c>
      <c r="H7" s="1" t="s">
        <v>15</v>
      </c>
      <c r="I7" s="5" t="s">
        <v>106</v>
      </c>
      <c r="J7" s="6" t="str">
        <f>LEFT(I7,2)</f>
        <v>03</v>
      </c>
      <c r="K7" s="6" t="str">
        <f>RIGHT(I7,4)</f>
        <v>2601</v>
      </c>
      <c r="L7" s="7">
        <v>42731</v>
      </c>
      <c r="M7" s="7">
        <f>L7+365</f>
        <v>43096</v>
      </c>
      <c r="N7" s="8">
        <v>58500</v>
      </c>
      <c r="O7" s="16">
        <f>N7*Pension_Rate</f>
        <v>5265</v>
      </c>
    </row>
    <row r="8" spans="1:16" x14ac:dyDescent="0.25">
      <c r="A8" s="3" t="s">
        <v>85</v>
      </c>
      <c r="B8" t="s">
        <v>151</v>
      </c>
      <c r="C8" s="2" t="s">
        <v>26</v>
      </c>
      <c r="D8" s="19" t="s">
        <v>166</v>
      </c>
      <c r="E8" t="str">
        <f>LOWER(C8&amp;"."&amp;B8&amp;"@pushpin.com")</f>
        <v>alexandra.donnell@pushpin.com</v>
      </c>
      <c r="F8" s="7">
        <v>42228</v>
      </c>
      <c r="G8" s="4">
        <f ca="1">YEARFRAC(F8,TODAY())</f>
        <v>11.169444444444444</v>
      </c>
      <c r="H8" s="1" t="s">
        <v>15</v>
      </c>
      <c r="I8" s="5" t="s">
        <v>110</v>
      </c>
      <c r="J8" s="6" t="str">
        <f>LEFT(I8,2)</f>
        <v>03</v>
      </c>
      <c r="K8" s="6" t="str">
        <f>RIGHT(I8,4)</f>
        <v>2082</v>
      </c>
      <c r="L8" s="7">
        <v>42629</v>
      </c>
      <c r="M8" s="7">
        <f>L8+365</f>
        <v>42994</v>
      </c>
      <c r="N8" s="8">
        <v>54900</v>
      </c>
      <c r="O8" s="16">
        <f>N8*Pension_Rate</f>
        <v>4941</v>
      </c>
    </row>
    <row r="9" spans="1:16" x14ac:dyDescent="0.25">
      <c r="A9" s="3" t="s">
        <v>67</v>
      </c>
      <c r="B9" t="s">
        <v>51</v>
      </c>
      <c r="C9" s="2" t="s">
        <v>50</v>
      </c>
      <c r="D9" s="19" t="s">
        <v>165</v>
      </c>
      <c r="E9" t="str">
        <f>LOWER(C9&amp;"."&amp;B9&amp;"@pushpin.com")</f>
        <v>nicholas.fernandes@pushpin.com</v>
      </c>
      <c r="F9" s="7">
        <v>39023</v>
      </c>
      <c r="G9" s="4">
        <f ca="1">YEARFRAC(F9,TODAY())</f>
        <v>19.947222222222223</v>
      </c>
      <c r="H9" s="1" t="s">
        <v>15</v>
      </c>
      <c r="I9" s="5" t="s">
        <v>122</v>
      </c>
      <c r="J9" s="6" t="str">
        <f>LEFT(I9,2)</f>
        <v>02</v>
      </c>
      <c r="K9" s="6" t="str">
        <f>RIGHT(I9,4)</f>
        <v>2372</v>
      </c>
      <c r="L9" s="7">
        <v>42614</v>
      </c>
      <c r="M9" s="7">
        <f>L9+365</f>
        <v>42979</v>
      </c>
      <c r="N9" s="8">
        <v>51600</v>
      </c>
      <c r="O9" s="16">
        <f>N9*Pension_Rate</f>
        <v>4644</v>
      </c>
    </row>
    <row r="10" spans="1:16" x14ac:dyDescent="0.25">
      <c r="A10" s="3" t="s">
        <v>63</v>
      </c>
      <c r="B10" t="s">
        <v>138</v>
      </c>
      <c r="C10" s="2" t="s">
        <v>12</v>
      </c>
      <c r="D10" s="19" t="s">
        <v>165</v>
      </c>
      <c r="E10" t="str">
        <f>LOWER(C10&amp;"."&amp;B10&amp;"@pushpin.com")</f>
        <v>adam.barry@pushpin.com</v>
      </c>
      <c r="F10" s="7">
        <v>38099</v>
      </c>
      <c r="G10" s="4">
        <f ca="1">YEARFRAC(F10,TODAY())</f>
        <v>22.475000000000001</v>
      </c>
      <c r="H10" s="1" t="s">
        <v>24</v>
      </c>
      <c r="I10" s="5" t="s">
        <v>97</v>
      </c>
      <c r="J10" s="6" t="str">
        <f>LEFT(I10,2)</f>
        <v>02</v>
      </c>
      <c r="K10" s="6" t="str">
        <f>RIGHT(I10,4)</f>
        <v>2018</v>
      </c>
      <c r="L10" s="7">
        <v>42860</v>
      </c>
      <c r="M10" s="7">
        <f>L10+365</f>
        <v>43225</v>
      </c>
      <c r="N10" s="8">
        <v>59200</v>
      </c>
      <c r="O10" s="16">
        <f>N10*Pension_Rate</f>
        <v>5328</v>
      </c>
    </row>
    <row r="11" spans="1:16" x14ac:dyDescent="0.25">
      <c r="A11" s="3" t="s">
        <v>94</v>
      </c>
      <c r="B11" t="s">
        <v>145</v>
      </c>
      <c r="C11" s="2" t="s">
        <v>16</v>
      </c>
      <c r="D11" s="19" t="s">
        <v>166</v>
      </c>
      <c r="E11" t="str">
        <f>LOWER(C11&amp;"."&amp;B11&amp;"@pushpin.com")</f>
        <v>elizabeth.clark@pushpin.com</v>
      </c>
      <c r="F11" s="7">
        <v>42874</v>
      </c>
      <c r="G11" s="4">
        <f ca="1">YEARFRAC(F11,TODAY())</f>
        <v>9.4</v>
      </c>
      <c r="H11" s="1" t="s">
        <v>24</v>
      </c>
      <c r="I11" s="5" t="s">
        <v>107</v>
      </c>
      <c r="J11" s="6" t="str">
        <f>LEFT(I11,2)</f>
        <v>02</v>
      </c>
      <c r="K11" s="6" t="str">
        <f>RIGHT(I11,4)</f>
        <v>2414</v>
      </c>
      <c r="L11" s="7">
        <v>42720</v>
      </c>
      <c r="M11" s="7">
        <f>L11+365</f>
        <v>43085</v>
      </c>
      <c r="N11" s="8">
        <v>37000</v>
      </c>
      <c r="O11" s="16">
        <f>N11*Pension_Rate</f>
        <v>3330</v>
      </c>
    </row>
    <row r="12" spans="1:16" x14ac:dyDescent="0.25">
      <c r="A12" s="3" t="s">
        <v>77</v>
      </c>
      <c r="B12" t="s">
        <v>147</v>
      </c>
      <c r="C12" s="2" t="s">
        <v>20</v>
      </c>
      <c r="D12" s="19" t="s">
        <v>166</v>
      </c>
      <c r="E12" t="str">
        <f>LOWER(C12&amp;"."&amp;B12&amp;"@pushpin.com")</f>
        <v>sabrina.cole@pushpin.com</v>
      </c>
      <c r="F12" s="7">
        <v>41401</v>
      </c>
      <c r="G12" s="4">
        <f ca="1">YEARFRAC(F12,TODAY())</f>
        <v>13.433333333333334</v>
      </c>
      <c r="H12" s="1" t="s">
        <v>24</v>
      </c>
      <c r="I12" s="5" t="s">
        <v>108</v>
      </c>
      <c r="J12" s="6" t="str">
        <f>LEFT(I12,2)</f>
        <v>02</v>
      </c>
      <c r="K12" s="6" t="str">
        <f>RIGHT(I12,4)</f>
        <v>2537</v>
      </c>
      <c r="L12" s="7">
        <v>42710</v>
      </c>
      <c r="M12" s="7">
        <f>L12+365</f>
        <v>43075</v>
      </c>
      <c r="N12" s="8">
        <v>45100</v>
      </c>
      <c r="O12" s="16">
        <f>N12*Pension_Rate</f>
        <v>4059</v>
      </c>
    </row>
    <row r="13" spans="1:16" x14ac:dyDescent="0.25">
      <c r="A13" s="3" t="s">
        <v>69</v>
      </c>
      <c r="B13" t="s">
        <v>148</v>
      </c>
      <c r="C13" s="2" t="s">
        <v>18</v>
      </c>
      <c r="D13" s="19" t="s">
        <v>166</v>
      </c>
      <c r="E13" t="str">
        <f>LOWER(C13&amp;"."&amp;B13&amp;"@pushpin.com")</f>
        <v>janet.comuntzis@pushpin.com</v>
      </c>
      <c r="F13" s="7">
        <v>39686</v>
      </c>
      <c r="G13" s="4">
        <f ca="1">YEARFRAC(F13,TODAY())</f>
        <v>18.130555555555556</v>
      </c>
      <c r="H13" s="1" t="s">
        <v>24</v>
      </c>
      <c r="I13" s="5" t="s">
        <v>109</v>
      </c>
      <c r="J13" s="6" t="str">
        <f>LEFT(I13,2)</f>
        <v>02</v>
      </c>
      <c r="K13" s="6" t="str">
        <f>RIGHT(I13,4)</f>
        <v>2286</v>
      </c>
      <c r="L13" s="7">
        <v>42658</v>
      </c>
      <c r="M13" s="7">
        <f>L13+365</f>
        <v>43023</v>
      </c>
      <c r="N13" s="8">
        <v>55800</v>
      </c>
      <c r="O13" s="16">
        <f>N13*Pension_Rate</f>
        <v>5022</v>
      </c>
    </row>
    <row r="14" spans="1:16" x14ac:dyDescent="0.25">
      <c r="A14" s="3" t="s">
        <v>65</v>
      </c>
      <c r="B14" t="s">
        <v>154</v>
      </c>
      <c r="C14" s="2" t="s">
        <v>14</v>
      </c>
      <c r="D14" s="19" t="s">
        <v>166</v>
      </c>
      <c r="E14" t="str">
        <f>LOWER(C14&amp;"."&amp;B14&amp;"@pushpin.com")</f>
        <v>susan.filosa@pushpin.com</v>
      </c>
      <c r="F14" s="7">
        <v>38744</v>
      </c>
      <c r="G14" s="4">
        <f ca="1">YEARFRAC(F14,TODAY())</f>
        <v>20.711111111111112</v>
      </c>
      <c r="H14" s="1" t="s">
        <v>24</v>
      </c>
      <c r="I14" s="5" t="s">
        <v>112</v>
      </c>
      <c r="J14" s="6" t="str">
        <f>LEFT(I14,2)</f>
        <v>02</v>
      </c>
      <c r="K14" s="6" t="str">
        <f>RIGHT(I14,4)</f>
        <v>2279</v>
      </c>
      <c r="L14" s="7">
        <v>42596</v>
      </c>
      <c r="M14" s="7">
        <f>L14+365</f>
        <v>42961</v>
      </c>
      <c r="N14" s="8">
        <v>58400</v>
      </c>
      <c r="O14" s="16">
        <f>N14*Pension_Rate</f>
        <v>5256</v>
      </c>
    </row>
    <row r="15" spans="1:16" x14ac:dyDescent="0.25">
      <c r="A15" s="3" t="s">
        <v>8</v>
      </c>
      <c r="B15" t="s">
        <v>140</v>
      </c>
      <c r="C15" s="2" t="s">
        <v>23</v>
      </c>
      <c r="D15" s="19" t="s">
        <v>165</v>
      </c>
      <c r="E15" t="str">
        <f>LOWER(C15&amp;"."&amp;B15&amp;"@pushpin.com")</f>
        <v>joe.carol@pushpin.com</v>
      </c>
      <c r="F15" s="7">
        <v>36923</v>
      </c>
      <c r="G15" s="4">
        <f ca="1">YEARFRAC(F15,TODAY())</f>
        <v>25.7</v>
      </c>
      <c r="H15" s="1" t="s">
        <v>22</v>
      </c>
      <c r="I15" s="5" t="s">
        <v>118</v>
      </c>
      <c r="J15" s="6" t="str">
        <f>LEFT(I15,2)</f>
        <v>01</v>
      </c>
      <c r="K15" s="6" t="str">
        <f>RIGHT(I15,4)</f>
        <v>2321</v>
      </c>
      <c r="L15" s="7">
        <v>42817</v>
      </c>
      <c r="M15" s="7">
        <f>L15+365</f>
        <v>43182</v>
      </c>
      <c r="N15" s="8">
        <v>101400</v>
      </c>
      <c r="O15" s="16">
        <f>N15*Pension_Rate</f>
        <v>9126</v>
      </c>
    </row>
    <row r="16" spans="1:16" x14ac:dyDescent="0.25">
      <c r="A16" s="3" t="s">
        <v>93</v>
      </c>
      <c r="B16" t="s">
        <v>159</v>
      </c>
      <c r="C16" s="2" t="s">
        <v>57</v>
      </c>
      <c r="D16" s="19" t="s">
        <v>166</v>
      </c>
      <c r="E16" t="str">
        <f>LOWER(C16&amp;"."&amp;B16&amp;"@pushpin.com")</f>
        <v>mei.wang@pushpin.com</v>
      </c>
      <c r="F16" s="7">
        <v>40188</v>
      </c>
      <c r="G16" s="4">
        <f ca="1">YEARFRAC(F16,TODAY())</f>
        <v>16.758333333333333</v>
      </c>
      <c r="H16" s="1" t="s">
        <v>22</v>
      </c>
      <c r="I16" s="5" t="s">
        <v>114</v>
      </c>
      <c r="J16" s="6" t="str">
        <f>LEFT(I16,2)</f>
        <v>01</v>
      </c>
      <c r="K16" s="6" t="str">
        <f>RIGHT(I16,4)</f>
        <v>2783</v>
      </c>
      <c r="L16" s="7">
        <v>42544</v>
      </c>
      <c r="M16" s="7">
        <f>L16+365</f>
        <v>42909</v>
      </c>
      <c r="N16" s="8">
        <v>96400</v>
      </c>
      <c r="O16" s="16">
        <f>N16*Pension_Rate</f>
        <v>8676</v>
      </c>
    </row>
    <row r="17" spans="1:15" x14ac:dyDescent="0.25">
      <c r="A17" s="3" t="s">
        <v>78</v>
      </c>
      <c r="B17" t="s">
        <v>141</v>
      </c>
      <c r="C17" s="2" t="s">
        <v>27</v>
      </c>
      <c r="D17" s="19" t="s">
        <v>165</v>
      </c>
      <c r="E17" t="str">
        <f>LOWER(C17&amp;"."&amp;B17&amp;"@pushpin.com")</f>
        <v>jim.chaffee@pushpin.com</v>
      </c>
      <c r="F17" s="7">
        <v>41787</v>
      </c>
      <c r="G17" s="4">
        <f ca="1">YEARFRAC(F17,TODAY())</f>
        <v>12.375</v>
      </c>
      <c r="H17" s="1" t="s">
        <v>13</v>
      </c>
      <c r="I17" s="5" t="s">
        <v>102</v>
      </c>
      <c r="J17" s="6" t="str">
        <f>LEFT(I17,2)</f>
        <v>03</v>
      </c>
      <c r="K17" s="6" t="str">
        <f>RIGHT(I17,4)</f>
        <v>2432</v>
      </c>
      <c r="L17" s="7">
        <v>42804</v>
      </c>
      <c r="M17" s="7">
        <f>L17+365</f>
        <v>43169</v>
      </c>
      <c r="N17" s="8">
        <v>42100</v>
      </c>
      <c r="O17" s="16">
        <f>N17*Pension_Rate</f>
        <v>3789</v>
      </c>
    </row>
    <row r="18" spans="1:15" x14ac:dyDescent="0.25">
      <c r="A18" s="3" t="s">
        <v>74</v>
      </c>
      <c r="B18" t="s">
        <v>142</v>
      </c>
      <c r="C18" s="2" t="s">
        <v>61</v>
      </c>
      <c r="D18" s="19" t="s">
        <v>166</v>
      </c>
      <c r="E18" t="str">
        <f>LOWER(C18&amp;"."&amp;B18&amp;"@pushpin.com")</f>
        <v>uma.chaudri@pushpin.com</v>
      </c>
      <c r="F18" s="7">
        <v>40994</v>
      </c>
      <c r="G18" s="4">
        <f ca="1">YEARFRAC(F18,TODAY())</f>
        <v>14.547222222222222</v>
      </c>
      <c r="H18" s="1" t="s">
        <v>17</v>
      </c>
      <c r="I18" s="5" t="s">
        <v>119</v>
      </c>
      <c r="J18" s="6" t="str">
        <f>LEFT(I18,2)</f>
        <v>03</v>
      </c>
      <c r="K18" s="6" t="str">
        <f>RIGHT(I18,4)</f>
        <v>2134</v>
      </c>
      <c r="L18" s="7">
        <v>42776</v>
      </c>
      <c r="M18" s="7">
        <f>L18+365</f>
        <v>43141</v>
      </c>
      <c r="N18" s="8">
        <v>63200</v>
      </c>
      <c r="O18" s="16">
        <f>N18*Pension_Rate</f>
        <v>5688</v>
      </c>
    </row>
    <row r="19" spans="1:15" x14ac:dyDescent="0.25">
      <c r="A19" s="3" t="s">
        <v>86</v>
      </c>
      <c r="B19" t="s">
        <v>156</v>
      </c>
      <c r="C19" s="2" t="s">
        <v>157</v>
      </c>
      <c r="D19" s="19" t="s">
        <v>165</v>
      </c>
      <c r="E19" t="str">
        <f>LOWER(C19&amp;"."&amp;B19&amp;"@pushpin.com")</f>
        <v>carlos.martinez@pushpin.com</v>
      </c>
      <c r="F19" s="7">
        <v>42229</v>
      </c>
      <c r="G19" s="4">
        <f ca="1">YEARFRAC(F19,TODAY())</f>
        <v>11.166666666666666</v>
      </c>
      <c r="H19" s="1" t="s">
        <v>17</v>
      </c>
      <c r="I19" s="5" t="s">
        <v>99</v>
      </c>
      <c r="J19" s="6" t="str">
        <f>LEFT(I19,2)</f>
        <v>03</v>
      </c>
      <c r="K19" s="6" t="str">
        <f>RIGHT(I19,4)</f>
        <v>2764</v>
      </c>
      <c r="L19" s="7">
        <v>42845</v>
      </c>
      <c r="M19" s="7">
        <f>L19+365</f>
        <v>43210</v>
      </c>
      <c r="N19" s="8">
        <v>47900</v>
      </c>
      <c r="O19" s="16">
        <f>N19*Pension_Rate</f>
        <v>4311</v>
      </c>
    </row>
    <row r="20" spans="1:15" x14ac:dyDescent="0.25">
      <c r="A20" s="3" t="s">
        <v>91</v>
      </c>
      <c r="B20" t="s">
        <v>158</v>
      </c>
      <c r="C20" s="2" t="s">
        <v>58</v>
      </c>
      <c r="D20" s="19" t="s">
        <v>165</v>
      </c>
      <c r="E20" t="str">
        <f>LOWER(C20&amp;"."&amp;B20&amp;"@pushpin.com")</f>
        <v>sean.sanders@pushpin.com</v>
      </c>
      <c r="F20" s="7">
        <v>42691</v>
      </c>
      <c r="G20" s="4">
        <f ca="1">YEARFRAC(F20,TODAY())</f>
        <v>9.905555555555555</v>
      </c>
      <c r="H20" s="1" t="s">
        <v>17</v>
      </c>
      <c r="I20" s="5" t="s">
        <v>113</v>
      </c>
      <c r="J20" s="6" t="str">
        <f>LEFT(I20,2)</f>
        <v>03</v>
      </c>
      <c r="K20" s="6" t="str">
        <f>RIGHT(I20,4)</f>
        <v>2765</v>
      </c>
      <c r="L20" s="7">
        <v>42566</v>
      </c>
      <c r="M20" s="7">
        <f>L20+365</f>
        <v>42931</v>
      </c>
      <c r="N20" s="8">
        <v>38600</v>
      </c>
      <c r="O20" s="16">
        <f>N20*Pension_Rate</f>
        <v>3474</v>
      </c>
    </row>
    <row r="21" spans="1:15" x14ac:dyDescent="0.25">
      <c r="A21" s="3" t="s">
        <v>71</v>
      </c>
      <c r="B21" t="s">
        <v>143</v>
      </c>
      <c r="C21" s="2" t="s">
        <v>16</v>
      </c>
      <c r="D21" s="19" t="s">
        <v>166</v>
      </c>
      <c r="E21" t="str">
        <f>LOWER(C21&amp;"."&amp;B21&amp;"@pushpin.com")</f>
        <v>elizabeth.chu@pushpin.com</v>
      </c>
      <c r="F21" s="7">
        <v>40220</v>
      </c>
      <c r="G21" s="4">
        <f ca="1">YEARFRAC(F21,TODAY())</f>
        <v>16.672222222222221</v>
      </c>
      <c r="H21" s="1" t="s">
        <v>59</v>
      </c>
      <c r="I21" s="5" t="s">
        <v>104</v>
      </c>
      <c r="J21" s="6" t="str">
        <f>LEFT(I21,2)</f>
        <v>01</v>
      </c>
      <c r="K21" s="6" t="str">
        <f>RIGHT(I21,4)</f>
        <v>2425</v>
      </c>
      <c r="L21" s="7">
        <v>42761</v>
      </c>
      <c r="M21" s="7">
        <f>L21+365</f>
        <v>43126</v>
      </c>
      <c r="N21" s="8">
        <v>48400</v>
      </c>
      <c r="O21" s="16">
        <f>N21*Pension_Rate</f>
        <v>4356</v>
      </c>
    </row>
    <row r="22" spans="1:15" x14ac:dyDescent="0.25">
      <c r="A22" s="3" t="s">
        <v>9</v>
      </c>
      <c r="B22" t="s">
        <v>144</v>
      </c>
      <c r="C22" s="2" t="s">
        <v>56</v>
      </c>
      <c r="D22" s="19" t="s">
        <v>165</v>
      </c>
      <c r="E22" t="str">
        <f>LOWER(C22&amp;"."&amp;B22&amp;"@pushpin.com")</f>
        <v>eric.chung@pushpin.com</v>
      </c>
      <c r="F22" s="7">
        <v>36949</v>
      </c>
      <c r="G22" s="4">
        <f ca="1">YEARFRAC(F22,TODAY())</f>
        <v>25.627777777777776</v>
      </c>
      <c r="H22" s="1" t="s">
        <v>59</v>
      </c>
      <c r="I22" s="5" t="s">
        <v>105</v>
      </c>
      <c r="J22" s="6" t="str">
        <f>LEFT(I22,2)</f>
        <v>03</v>
      </c>
      <c r="K22" s="6" t="str">
        <f>RIGHT(I22,4)</f>
        <v>2796</v>
      </c>
      <c r="L22" s="7">
        <v>42731</v>
      </c>
      <c r="M22" s="7">
        <f>L22+365</f>
        <v>43096</v>
      </c>
      <c r="N22" s="8">
        <v>70300</v>
      </c>
      <c r="O22" s="16">
        <f>N22*Pension_Rate</f>
        <v>6327</v>
      </c>
    </row>
    <row r="23" spans="1:15" x14ac:dyDescent="0.25">
      <c r="A23" s="3" t="s">
        <v>76</v>
      </c>
      <c r="B23" t="s">
        <v>149</v>
      </c>
      <c r="C23" s="2" t="s">
        <v>19</v>
      </c>
      <c r="D23" s="19" t="s">
        <v>165</v>
      </c>
      <c r="E23" t="str">
        <f>LOWER(C23&amp;"."&amp;B23&amp;"@pushpin.com")</f>
        <v>bob.decker@pushpin.com</v>
      </c>
      <c r="F23" s="7">
        <v>41210</v>
      </c>
      <c r="G23" s="4">
        <f ca="1">YEARFRAC(F23,TODAY())</f>
        <v>13.958333333333334</v>
      </c>
      <c r="H23" s="1" t="s">
        <v>59</v>
      </c>
      <c r="I23" s="5" t="s">
        <v>120</v>
      </c>
      <c r="J23" s="6" t="str">
        <f>LEFT(I23,2)</f>
        <v>01</v>
      </c>
      <c r="K23" s="6" t="str">
        <f>RIGHT(I23,4)</f>
        <v>2086</v>
      </c>
      <c r="L23" s="7">
        <v>42656</v>
      </c>
      <c r="M23" s="7">
        <f>L23+365</f>
        <v>43021</v>
      </c>
      <c r="N23" s="8">
        <v>49600</v>
      </c>
      <c r="O23" s="16">
        <f>N23*Pension_Rate</f>
        <v>4464</v>
      </c>
    </row>
    <row r="24" spans="1:15" x14ac:dyDescent="0.25">
      <c r="A24" s="3" t="s">
        <v>75</v>
      </c>
      <c r="B24" t="s">
        <v>150</v>
      </c>
      <c r="C24" s="2" t="s">
        <v>28</v>
      </c>
      <c r="D24" s="19" t="s">
        <v>166</v>
      </c>
      <c r="E24" t="str">
        <f>LOWER(C24&amp;"."&amp;B24&amp;"@pushpin.com")</f>
        <v>tina.desiato@pushpin.com</v>
      </c>
      <c r="F24" s="7">
        <v>41175</v>
      </c>
      <c r="G24" s="4">
        <f ca="1">YEARFRAC(F24,TODAY())</f>
        <v>14.055555555555555</v>
      </c>
      <c r="H24" t="s">
        <v>59</v>
      </c>
      <c r="I24" s="5" t="s">
        <v>121</v>
      </c>
      <c r="J24" s="6" t="str">
        <f>LEFT(I24,2)</f>
        <v>01</v>
      </c>
      <c r="K24" s="6" t="str">
        <f>RIGHT(I24,4)</f>
        <v>2358</v>
      </c>
      <c r="L24" s="7">
        <v>42652</v>
      </c>
      <c r="M24" s="7">
        <f>L24+365</f>
        <v>43017</v>
      </c>
      <c r="N24" s="8">
        <v>51700</v>
      </c>
      <c r="O24" s="16">
        <f>N24*Pension_Rate</f>
        <v>4653</v>
      </c>
    </row>
    <row r="25" spans="1:15" x14ac:dyDescent="0.25">
      <c r="A25" s="3" t="s">
        <v>89</v>
      </c>
      <c r="B25" t="s">
        <v>152</v>
      </c>
      <c r="C25" s="2" t="s">
        <v>25</v>
      </c>
      <c r="D25" s="19" t="s">
        <v>165</v>
      </c>
      <c r="E25" t="str">
        <f>LOWER(C25&amp;"."&amp;B25&amp;"@pushpin.com")</f>
        <v>mark.ellis@pushpin.com</v>
      </c>
      <c r="F25" s="7">
        <v>42371</v>
      </c>
      <c r="G25" s="4">
        <f ca="1">YEARFRAC(F25,TODAY())</f>
        <v>10.780555555555555</v>
      </c>
      <c r="H25" s="1" t="s">
        <v>59</v>
      </c>
      <c r="I25" s="5" t="s">
        <v>111</v>
      </c>
      <c r="J25" s="6" t="str">
        <f>LEFT(I25,2)</f>
        <v>03</v>
      </c>
      <c r="K25" s="6" t="str">
        <f>RIGHT(I25,4)</f>
        <v>2482</v>
      </c>
      <c r="L25" s="7">
        <v>42619</v>
      </c>
      <c r="M25" s="7">
        <f>L25+365</f>
        <v>42984</v>
      </c>
      <c r="N25" s="8">
        <v>58500</v>
      </c>
      <c r="O25" s="16">
        <f>N25*Pension_Rate</f>
        <v>5265</v>
      </c>
    </row>
    <row r="26" spans="1:15" x14ac:dyDescent="0.25">
      <c r="A26" s="3" t="s">
        <v>68</v>
      </c>
      <c r="B26" t="s">
        <v>49</v>
      </c>
      <c r="C26" s="2" t="s">
        <v>48</v>
      </c>
      <c r="D26" s="19" t="s">
        <v>165</v>
      </c>
      <c r="E26" t="str">
        <f>LOWER(C26&amp;"."&amp;B26&amp;"@pushpin.com")</f>
        <v>stevie.bacata@pushpin.com</v>
      </c>
      <c r="F26" s="7">
        <v>39551</v>
      </c>
      <c r="G26" s="4">
        <f ca="1">YEARFRAC(F26,TODAY())</f>
        <v>18.5</v>
      </c>
      <c r="H26" s="1" t="s">
        <v>55</v>
      </c>
      <c r="I26" s="5" t="s">
        <v>96</v>
      </c>
      <c r="J26" s="6" t="str">
        <f>LEFT(I26,2)</f>
        <v>02</v>
      </c>
      <c r="K26" s="6" t="str">
        <f>RIGHT(I26,4)</f>
        <v>2635</v>
      </c>
      <c r="L26" s="7">
        <v>42507</v>
      </c>
      <c r="M26" s="7">
        <f>L26+365</f>
        <v>42872</v>
      </c>
      <c r="N26" s="8">
        <v>58200</v>
      </c>
      <c r="O26" s="16">
        <f>N26*Pension_Rate</f>
        <v>5238</v>
      </c>
    </row>
    <row r="27" spans="1:15" x14ac:dyDescent="0.25">
      <c r="A27" s="3" t="s">
        <v>81</v>
      </c>
      <c r="B27" t="s">
        <v>43</v>
      </c>
      <c r="C27" s="2" t="s">
        <v>42</v>
      </c>
      <c r="D27" s="19" t="s">
        <v>165</v>
      </c>
      <c r="E27" t="str">
        <f>LOWER(C27&amp;"."&amp;B27&amp;"@pushpin.com")</f>
        <v>connor.betts@pushpin.com</v>
      </c>
      <c r="F27" s="7">
        <v>41956</v>
      </c>
      <c r="G27" s="4">
        <f ca="1">YEARFRAC(F27,TODAY())</f>
        <v>11.916666666666666</v>
      </c>
      <c r="H27" s="1" t="s">
        <v>55</v>
      </c>
      <c r="I27" s="5" t="s">
        <v>98</v>
      </c>
      <c r="J27" s="6" t="str">
        <f>LEFT(I27,2)</f>
        <v>02</v>
      </c>
      <c r="K27" s="6" t="str">
        <f>RIGHT(I27,4)</f>
        <v>2347</v>
      </c>
      <c r="L27" s="7">
        <v>42848</v>
      </c>
      <c r="M27" s="7">
        <f>L27+365</f>
        <v>43213</v>
      </c>
      <c r="N27" s="8">
        <v>52600</v>
      </c>
      <c r="O27" s="16">
        <f>N27*Pension_Rate</f>
        <v>4734</v>
      </c>
    </row>
    <row r="28" spans="1:15" x14ac:dyDescent="0.25">
      <c r="A28" s="3" t="s">
        <v>90</v>
      </c>
      <c r="B28" t="s">
        <v>45</v>
      </c>
      <c r="C28" s="2" t="s">
        <v>44</v>
      </c>
      <c r="D28" s="19" t="s">
        <v>166</v>
      </c>
      <c r="E28" t="str">
        <f>LOWER(C28&amp;"."&amp;B28&amp;"@pushpin.com")</f>
        <v>yvette.biti@pushpin.com</v>
      </c>
      <c r="F28" s="7">
        <v>42384</v>
      </c>
      <c r="G28" s="4">
        <f ca="1">YEARFRAC(F28,TODAY())</f>
        <v>10.744444444444444</v>
      </c>
      <c r="H28" s="1" t="s">
        <v>55</v>
      </c>
      <c r="I28" s="5" t="s">
        <v>100</v>
      </c>
      <c r="J28" s="6" t="str">
        <f>LEFT(I28,2)</f>
        <v>02</v>
      </c>
      <c r="K28" s="6" t="str">
        <f>RIGHT(I28,4)</f>
        <v>2589</v>
      </c>
      <c r="L28" s="7">
        <v>42839</v>
      </c>
      <c r="M28" s="7">
        <f>L28+365</f>
        <v>43204</v>
      </c>
      <c r="N28" s="8">
        <v>51400</v>
      </c>
      <c r="O28" s="16">
        <f>N28*Pension_Rate</f>
        <v>4626</v>
      </c>
    </row>
    <row r="29" spans="1:15" x14ac:dyDescent="0.25">
      <c r="A29" s="3" t="s">
        <v>80</v>
      </c>
      <c r="B29" t="s">
        <v>47</v>
      </c>
      <c r="C29" s="2" t="s">
        <v>46</v>
      </c>
      <c r="D29" s="19" t="s">
        <v>165</v>
      </c>
      <c r="E29" t="str">
        <f>LOWER(C29&amp;"."&amp;B29&amp;"@pushpin.com")</f>
        <v>charlie.bui@pushpin.com</v>
      </c>
      <c r="F29" s="7">
        <v>41903</v>
      </c>
      <c r="G29" s="4">
        <f ca="1">YEARFRAC(F29,TODAY())</f>
        <v>12.061111111111112</v>
      </c>
      <c r="H29" s="1" t="s">
        <v>55</v>
      </c>
      <c r="I29" s="5" t="s">
        <v>117</v>
      </c>
      <c r="J29" s="6" t="str">
        <f>LEFT(I29,2)</f>
        <v>02</v>
      </c>
      <c r="K29" s="6" t="str">
        <f>RIGHT(I29,4)</f>
        <v>2694</v>
      </c>
      <c r="L29" s="7">
        <v>42828</v>
      </c>
      <c r="M29" s="7">
        <f>L29+365</f>
        <v>43193</v>
      </c>
      <c r="N29" s="8">
        <v>54700</v>
      </c>
      <c r="O29" s="16">
        <f>N29*Pension_Rate</f>
        <v>4923</v>
      </c>
    </row>
    <row r="30" spans="1:15" x14ac:dyDescent="0.25">
      <c r="A30" s="3" t="s">
        <v>66</v>
      </c>
      <c r="B30" t="s">
        <v>29</v>
      </c>
      <c r="C30" s="2" t="s">
        <v>28</v>
      </c>
      <c r="D30" s="19" t="s">
        <v>166</v>
      </c>
      <c r="E30" t="str">
        <f>LOWER(C30&amp;"."&amp;B30&amp;"@pushpin.com")</f>
        <v>tina.carlton@pushpin.com</v>
      </c>
      <c r="F30" s="7">
        <v>38798</v>
      </c>
      <c r="G30" s="4">
        <f ca="1">YEARFRAC(F30,TODAY())</f>
        <v>20.558333333333334</v>
      </c>
      <c r="H30" s="1" t="s">
        <v>55</v>
      </c>
      <c r="I30" s="5" t="s">
        <v>101</v>
      </c>
      <c r="J30" s="6" t="str">
        <f>LEFT(I30,2)</f>
        <v>02</v>
      </c>
      <c r="K30" s="6" t="str">
        <f>RIGHT(I30,4)</f>
        <v>2699</v>
      </c>
      <c r="L30" s="7">
        <v>42825</v>
      </c>
      <c r="M30" s="7">
        <f>L30+365</f>
        <v>43190</v>
      </c>
      <c r="N30" s="8">
        <v>59200</v>
      </c>
      <c r="O30" s="16">
        <f>N30*Pension_Rate</f>
        <v>5328</v>
      </c>
    </row>
    <row r="31" spans="1:15" x14ac:dyDescent="0.25">
      <c r="A31" s="3" t="s">
        <v>72</v>
      </c>
      <c r="B31" t="s">
        <v>31</v>
      </c>
      <c r="C31" s="2" t="s">
        <v>30</v>
      </c>
      <c r="D31" s="19" t="s">
        <v>166</v>
      </c>
      <c r="E31" t="str">
        <f>LOWER(C31&amp;"."&amp;B31&amp;"@pushpin.com")</f>
        <v>samantha.chairs@pushpin.com</v>
      </c>
      <c r="F31" s="7">
        <v>40595</v>
      </c>
      <c r="G31" s="4">
        <f ca="1">YEARFRAC(F31,TODAY())</f>
        <v>15.644444444444444</v>
      </c>
      <c r="H31" s="1" t="s">
        <v>55</v>
      </c>
      <c r="I31" s="5" t="s">
        <v>103</v>
      </c>
      <c r="J31" s="6" t="str">
        <f>LEFT(I31,2)</f>
        <v>02</v>
      </c>
      <c r="K31" s="6" t="str">
        <f>RIGHT(I31,4)</f>
        <v>2962</v>
      </c>
      <c r="L31" s="7">
        <v>42801</v>
      </c>
      <c r="M31" s="7">
        <f>L31+365</f>
        <v>43166</v>
      </c>
      <c r="N31" s="8">
        <v>59300</v>
      </c>
      <c r="O31" s="16">
        <f>N31*Pension_Rate</f>
        <v>5337</v>
      </c>
    </row>
    <row r="32" spans="1:15" x14ac:dyDescent="0.25">
      <c r="A32" s="3" t="s">
        <v>64</v>
      </c>
      <c r="B32" t="s">
        <v>153</v>
      </c>
      <c r="C32" s="2" t="s">
        <v>21</v>
      </c>
      <c r="D32" s="19" t="s">
        <v>166</v>
      </c>
      <c r="E32" t="str">
        <f>LOWER(C32&amp;"."&amp;B32&amp;"@pushpin.com")</f>
        <v>mary.ferris@pushpin.com</v>
      </c>
      <c r="F32" s="7">
        <v>38548</v>
      </c>
      <c r="G32" s="4">
        <f ca="1">YEARFRAC(F32,TODAY())</f>
        <v>21.244444444444444</v>
      </c>
      <c r="H32" s="1" t="s">
        <v>55</v>
      </c>
      <c r="I32" s="5" t="s">
        <v>123</v>
      </c>
      <c r="J32" s="6" t="str">
        <f>LEFT(I32,2)</f>
        <v>03</v>
      </c>
      <c r="K32" s="6" t="str">
        <f>RIGHT(I32,4)</f>
        <v>2392</v>
      </c>
      <c r="L32" s="7">
        <v>42598</v>
      </c>
      <c r="M32" s="7">
        <f>L32+365</f>
        <v>42963</v>
      </c>
      <c r="N32" s="8">
        <v>62900</v>
      </c>
      <c r="O32" s="16">
        <f>N32*Pension_Rate</f>
        <v>5661</v>
      </c>
    </row>
    <row r="33" spans="1:15" x14ac:dyDescent="0.25">
      <c r="A33" s="3" t="s">
        <v>11</v>
      </c>
      <c r="B33" t="s">
        <v>155</v>
      </c>
      <c r="C33" s="2" t="s">
        <v>10</v>
      </c>
      <c r="D33" s="19" t="s">
        <v>165</v>
      </c>
      <c r="E33" t="str">
        <f>LOWER(C33&amp;"."&amp;B33&amp;"@pushpin.com")</f>
        <v>daniel.flanders@pushpin.com</v>
      </c>
      <c r="F33" s="7">
        <v>37510</v>
      </c>
      <c r="G33" s="4">
        <f ca="1">YEARFRAC(F33,TODAY())</f>
        <v>24.088888888888889</v>
      </c>
      <c r="H33" s="1" t="s">
        <v>55</v>
      </c>
      <c r="I33" s="5" t="s">
        <v>124</v>
      </c>
      <c r="J33" s="6" t="str">
        <f>LEFT(I33,2)</f>
        <v>02</v>
      </c>
      <c r="K33" s="6" t="str">
        <f>RIGHT(I33,4)</f>
        <v>2639</v>
      </c>
      <c r="L33" s="7">
        <v>42590</v>
      </c>
      <c r="M33" s="7">
        <f>L33+365</f>
        <v>42955</v>
      </c>
      <c r="N33" s="8">
        <v>68800</v>
      </c>
      <c r="O33" s="16">
        <f>N33*Pension_Rate</f>
        <v>6192</v>
      </c>
    </row>
    <row r="34" spans="1:15" x14ac:dyDescent="0.25">
      <c r="A34" s="3" t="s">
        <v>84</v>
      </c>
      <c r="B34" t="s">
        <v>37</v>
      </c>
      <c r="C34" s="2" t="s">
        <v>36</v>
      </c>
      <c r="D34" s="19" t="s">
        <v>165</v>
      </c>
      <c r="E34" t="str">
        <f>LOWER(C34&amp;"."&amp;B34&amp;"@pushpin.com")</f>
        <v>leighton.forrest@pushpin.com</v>
      </c>
      <c r="F34" s="7">
        <v>42120</v>
      </c>
      <c r="G34" s="4">
        <f ca="1">YEARFRAC(F34,TODAY())</f>
        <v>11.463888888888889</v>
      </c>
      <c r="H34" s="1" t="s">
        <v>55</v>
      </c>
      <c r="I34" s="5" t="s">
        <v>125</v>
      </c>
      <c r="J34" s="6" t="str">
        <f>LEFT(I34,2)</f>
        <v>02</v>
      </c>
      <c r="K34" s="6" t="str">
        <f>RIGHT(I34,4)</f>
        <v>2284</v>
      </c>
      <c r="L34" s="7">
        <v>42586</v>
      </c>
      <c r="M34" s="7">
        <f>L34+365</f>
        <v>42951</v>
      </c>
      <c r="N34" s="8">
        <v>56200</v>
      </c>
      <c r="O34" s="16">
        <f>N34*Pension_Rate</f>
        <v>5058</v>
      </c>
    </row>
    <row r="35" spans="1:15" x14ac:dyDescent="0.25">
      <c r="A35" s="3" t="s">
        <v>92</v>
      </c>
      <c r="B35" t="s">
        <v>35</v>
      </c>
      <c r="C35" s="2" t="s">
        <v>34</v>
      </c>
      <c r="D35" s="19" t="s">
        <v>166</v>
      </c>
      <c r="E35" t="str">
        <f>LOWER(C35&amp;"."&amp;B35&amp;"@pushpin.com")</f>
        <v>phoebe.gour@pushpin.com</v>
      </c>
      <c r="F35" s="7">
        <v>42721</v>
      </c>
      <c r="G35" s="4">
        <f ca="1">YEARFRAC(F35,TODAY())</f>
        <v>9.8222222222222229</v>
      </c>
      <c r="H35" s="1" t="s">
        <v>55</v>
      </c>
      <c r="I35" s="5" t="s">
        <v>126</v>
      </c>
      <c r="J35" s="6" t="str">
        <f>LEFT(I35,2)</f>
        <v>02</v>
      </c>
      <c r="K35" s="6" t="str">
        <f>RIGHT(I35,4)</f>
        <v>2910</v>
      </c>
      <c r="L35" s="7">
        <v>42539</v>
      </c>
      <c r="M35" s="7">
        <f>L35+365</f>
        <v>42904</v>
      </c>
      <c r="N35" s="8">
        <v>40500</v>
      </c>
      <c r="O35" s="16">
        <f>N35*Pension_Rate</f>
        <v>3645</v>
      </c>
    </row>
    <row r="36" spans="1:15" x14ac:dyDescent="0.25">
      <c r="A36" s="3" t="s">
        <v>70</v>
      </c>
      <c r="B36" t="s">
        <v>33</v>
      </c>
      <c r="C36" s="2" t="s">
        <v>32</v>
      </c>
      <c r="D36" s="19" t="s">
        <v>165</v>
      </c>
      <c r="E36" t="str">
        <f>LOWER(C36&amp;"."&amp;B36&amp;"@pushpin.com")</f>
        <v>mihael.khan@pushpin.com</v>
      </c>
      <c r="F36" s="7">
        <v>40160</v>
      </c>
      <c r="G36" s="4">
        <f ca="1">YEARFRAC(F36,TODAY())</f>
        <v>16.833333333333332</v>
      </c>
      <c r="H36" s="1" t="s">
        <v>55</v>
      </c>
      <c r="I36" s="5" t="s">
        <v>127</v>
      </c>
      <c r="J36" s="6" t="str">
        <f>LEFT(I36,2)</f>
        <v>02</v>
      </c>
      <c r="K36" s="6" t="str">
        <f>RIGHT(I36,4)</f>
        <v>2294</v>
      </c>
      <c r="L36" s="7">
        <v>42566</v>
      </c>
      <c r="M36" s="7">
        <f>L36+365</f>
        <v>42931</v>
      </c>
      <c r="N36" s="8">
        <v>55500</v>
      </c>
      <c r="O36" s="16">
        <f>N36*Pension_Rate</f>
        <v>4995</v>
      </c>
    </row>
    <row r="37" spans="1:15" x14ac:dyDescent="0.25">
      <c r="A37" s="3" t="s">
        <v>88</v>
      </c>
      <c r="B37" t="s">
        <v>54</v>
      </c>
      <c r="C37" s="2" t="s">
        <v>52</v>
      </c>
      <c r="D37" s="19" t="s">
        <v>166</v>
      </c>
      <c r="E37" t="str">
        <f>LOWER(C37&amp;"."&amp;B37&amp;"@pushpin.com")</f>
        <v>radhya.senome@pushpin.com</v>
      </c>
      <c r="F37" s="7">
        <v>42324</v>
      </c>
      <c r="G37" s="4">
        <f ca="1">YEARFRAC(F37,TODAY())</f>
        <v>10.908333333333333</v>
      </c>
      <c r="H37" s="1" t="s">
        <v>55</v>
      </c>
      <c r="I37" s="5" t="s">
        <v>128</v>
      </c>
      <c r="J37" s="6" t="str">
        <f>LEFT(I37,2)</f>
        <v>02</v>
      </c>
      <c r="K37" s="6" t="str">
        <f>RIGHT(I37,4)</f>
        <v>2260</v>
      </c>
      <c r="L37" s="7">
        <v>42563</v>
      </c>
      <c r="M37" s="7">
        <f>L37+365</f>
        <v>42928</v>
      </c>
      <c r="N37" s="8">
        <v>35600</v>
      </c>
      <c r="O37" s="16">
        <f>N37*Pension_Rate</f>
        <v>3204</v>
      </c>
    </row>
    <row r="38" spans="1:15" x14ac:dyDescent="0.25">
      <c r="A38" s="3" t="s">
        <v>73</v>
      </c>
      <c r="B38" t="s">
        <v>39</v>
      </c>
      <c r="C38" s="2" t="s">
        <v>38</v>
      </c>
      <c r="D38" s="19" t="s">
        <v>166</v>
      </c>
      <c r="E38" t="str">
        <f>LOWER(C38&amp;"."&amp;B38&amp;"@pushpin.com")</f>
        <v>natasha.song@pushpin.com</v>
      </c>
      <c r="F38" s="7">
        <v>40713</v>
      </c>
      <c r="G38" s="4">
        <f ca="1">YEARFRAC(F38,TODAY())</f>
        <v>15.316666666666666</v>
      </c>
      <c r="H38" s="1" t="s">
        <v>55</v>
      </c>
      <c r="I38" s="5" t="s">
        <v>129</v>
      </c>
      <c r="J38" s="6" t="str">
        <f>LEFT(I38,2)</f>
        <v>02</v>
      </c>
      <c r="K38" s="6" t="str">
        <f>RIGHT(I38,4)</f>
        <v>2578</v>
      </c>
      <c r="L38" s="7">
        <v>42552</v>
      </c>
      <c r="M38" s="7">
        <f>L38+365</f>
        <v>42917</v>
      </c>
      <c r="N38" s="8">
        <v>56000</v>
      </c>
      <c r="O38" s="16">
        <f>N38*Pension_Rate</f>
        <v>5040</v>
      </c>
    </row>
    <row r="39" spans="1:15" x14ac:dyDescent="0.25">
      <c r="A39" s="3" t="s">
        <v>87</v>
      </c>
      <c r="B39" t="s">
        <v>53</v>
      </c>
      <c r="C39" s="2" t="s">
        <v>115</v>
      </c>
      <c r="D39" s="19" t="s">
        <v>165</v>
      </c>
      <c r="E39" t="str">
        <f>LOWER(C39&amp;"."&amp;B39&amp;"@pushpin.com")</f>
        <v>peter.staples@pushpin.com</v>
      </c>
      <c r="F39" s="7">
        <v>42321</v>
      </c>
      <c r="G39" s="4">
        <f ca="1">YEARFRAC(F39,TODAY())</f>
        <v>10.916666666666666</v>
      </c>
      <c r="H39" s="1" t="s">
        <v>55</v>
      </c>
      <c r="I39" s="5" t="s">
        <v>130</v>
      </c>
      <c r="J39" s="6" t="str">
        <f>LEFT(I39,2)</f>
        <v>02</v>
      </c>
      <c r="K39" s="6" t="str">
        <f>RIGHT(I39,4)</f>
        <v>2654</v>
      </c>
      <c r="L39" s="7">
        <v>42551</v>
      </c>
      <c r="M39" s="7">
        <f>L39+365</f>
        <v>42916</v>
      </c>
      <c r="N39" s="8">
        <v>49600</v>
      </c>
      <c r="O39" s="16">
        <f>N39*Pension_Rate</f>
        <v>4464</v>
      </c>
    </row>
    <row r="40" spans="1:15" x14ac:dyDescent="0.25">
      <c r="A40" s="3" t="s">
        <v>83</v>
      </c>
      <c r="B40" t="s">
        <v>41</v>
      </c>
      <c r="C40" s="2" t="s">
        <v>40</v>
      </c>
      <c r="D40" s="19" t="s">
        <v>166</v>
      </c>
      <c r="E40" t="str">
        <f>LOWER(C40&amp;"."&amp;B40&amp;"@pushpin.com")</f>
        <v>aanya.zhang@pushpin.com</v>
      </c>
      <c r="F40" s="7">
        <v>42002</v>
      </c>
      <c r="G40" s="4">
        <f ca="1">YEARFRAC(F40,TODAY())</f>
        <v>11.78888888888889</v>
      </c>
      <c r="H40" s="1" t="s">
        <v>55</v>
      </c>
      <c r="I40" s="5" t="s">
        <v>131</v>
      </c>
      <c r="J40" s="6" t="str">
        <f>LEFT(I40,2)</f>
        <v>02</v>
      </c>
      <c r="K40" s="6" t="str">
        <f>RIGHT(I40,4)</f>
        <v>2793</v>
      </c>
      <c r="L40" s="7">
        <v>42540</v>
      </c>
      <c r="M40" s="7">
        <f>L40+365</f>
        <v>42905</v>
      </c>
      <c r="N40" s="8">
        <v>46500</v>
      </c>
      <c r="O40" s="16">
        <f>N40*Pension_Rate</f>
        <v>4185</v>
      </c>
    </row>
    <row r="41" spans="1:15" x14ac:dyDescent="0.25">
      <c r="A41" s="3">
        <f>SUBTOTAL(103,HR_7[Emp ID])</f>
        <v>35</v>
      </c>
      <c r="C41" s="2"/>
      <c r="D41" s="19"/>
      <c r="G41" s="4"/>
      <c r="H41" s="21"/>
      <c r="I41" s="22"/>
      <c r="J41" s="3"/>
      <c r="K41" s="3"/>
      <c r="L41" s="3"/>
      <c r="M41" s="3"/>
      <c r="N41" s="8"/>
      <c r="O41" s="16">
        <f>SUBTOTAL(109,HR_7[Pension])</f>
        <v>176256</v>
      </c>
    </row>
    <row r="43" spans="1:15" ht="15.75" x14ac:dyDescent="0.25">
      <c r="E43" s="13"/>
    </row>
    <row r="44" spans="1:15" ht="15.75" x14ac:dyDescent="0.25">
      <c r="E44" s="13"/>
    </row>
    <row r="45" spans="1:15" ht="15.75" x14ac:dyDescent="0.25">
      <c r="E45" s="13"/>
    </row>
  </sheetData>
  <conditionalFormatting sqref="M6:M40">
    <cfRule type="cellIs" dxfId="9" priority="1" operator="equal">
      <formula>0</formula>
    </cfRule>
    <cfRule type="expression" dxfId="8" priority="2">
      <formula>M6&lt;TODAY()</formula>
    </cfRule>
  </conditionalFormatting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7A70-F166-4C12-8CAC-3110A8433524}">
  <dimension ref="A1:P45"/>
  <sheetViews>
    <sheetView zoomScale="80" zoomScaleNormal="80" workbookViewId="0">
      <selection activeCell="S38" sqref="S38"/>
    </sheetView>
  </sheetViews>
  <sheetFormatPr defaultRowHeight="15" x14ac:dyDescent="0.25"/>
  <cols>
    <col min="1" max="1" width="9.140625" style="3" customWidth="1"/>
    <col min="2" max="2" width="13" customWidth="1"/>
    <col min="3" max="3" width="11.85546875" customWidth="1"/>
    <col min="4" max="4" width="9.5703125" style="3" customWidth="1"/>
    <col min="5" max="5" width="29.140625" bestFit="1" customWidth="1"/>
    <col min="6" max="6" width="14" style="3" customWidth="1"/>
    <col min="7" max="7" width="14.85546875" customWidth="1"/>
    <col min="8" max="8" width="17.570312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42578125" customWidth="1"/>
    <col min="14" max="14" width="15.140625" customWidth="1"/>
    <col min="15" max="15" width="15.5703125" customWidth="1"/>
  </cols>
  <sheetData>
    <row r="1" spans="1:16" ht="28.5" x14ac:dyDescent="0.45">
      <c r="A1" s="18" t="s">
        <v>95</v>
      </c>
      <c r="O1" s="14" t="s">
        <v>161</v>
      </c>
      <c r="P1" s="15">
        <v>0.09</v>
      </c>
    </row>
    <row r="2" spans="1:16" ht="28.5" x14ac:dyDescent="0.45">
      <c r="A2" s="18"/>
    </row>
    <row r="3" spans="1:16" ht="28.5" x14ac:dyDescent="0.45">
      <c r="A3" s="18"/>
    </row>
    <row r="5" spans="1:16" x14ac:dyDescent="0.25">
      <c r="A5" t="s">
        <v>0</v>
      </c>
      <c r="B5" t="s">
        <v>1</v>
      </c>
      <c r="C5" t="s">
        <v>2</v>
      </c>
      <c r="D5" t="s">
        <v>164</v>
      </c>
      <c r="E5" t="s">
        <v>3</v>
      </c>
      <c r="F5" t="s">
        <v>4</v>
      </c>
      <c r="G5" t="s">
        <v>62</v>
      </c>
      <c r="H5" t="s">
        <v>5</v>
      </c>
      <c r="I5" t="s">
        <v>6</v>
      </c>
      <c r="J5" t="s">
        <v>60</v>
      </c>
      <c r="K5" t="s">
        <v>7</v>
      </c>
      <c r="L5" t="s">
        <v>132</v>
      </c>
      <c r="M5" t="s">
        <v>133</v>
      </c>
      <c r="N5" t="s">
        <v>170</v>
      </c>
      <c r="O5" t="s">
        <v>160</v>
      </c>
    </row>
    <row r="6" spans="1:16" hidden="1" x14ac:dyDescent="0.25">
      <c r="A6" s="3" t="s">
        <v>94</v>
      </c>
      <c r="B6" t="s">
        <v>145</v>
      </c>
      <c r="C6" s="2" t="s">
        <v>16</v>
      </c>
      <c r="D6" s="19" t="s">
        <v>166</v>
      </c>
      <c r="E6" t="str">
        <f t="shared" ref="E6:E40" si="0">LOWER(C6&amp;"."&amp;B6&amp;"@pushpin.com")</f>
        <v>elizabeth.clark@pushpin.com</v>
      </c>
      <c r="F6" s="7">
        <v>42874</v>
      </c>
      <c r="G6" s="4">
        <f t="shared" ref="G6:G40" ca="1" si="1">YEARFRAC(F6,TODAY())</f>
        <v>9.4</v>
      </c>
      <c r="H6" s="1" t="s">
        <v>24</v>
      </c>
      <c r="I6" s="5" t="s">
        <v>107</v>
      </c>
      <c r="J6" s="6" t="str">
        <f t="shared" ref="J6:J40" si="2">LEFT(I6,2)</f>
        <v>02</v>
      </c>
      <c r="K6" s="6" t="str">
        <f t="shared" ref="K6:K40" si="3">RIGHT(I6,4)</f>
        <v>2414</v>
      </c>
      <c r="L6" s="7">
        <v>42720</v>
      </c>
      <c r="M6" s="7">
        <f t="shared" ref="M6:M40" si="4">L6+365</f>
        <v>43085</v>
      </c>
      <c r="N6" s="8">
        <v>37000</v>
      </c>
      <c r="O6" s="16">
        <f t="shared" ref="O6:O40" si="5">N6*Pension_Rate</f>
        <v>3330</v>
      </c>
    </row>
    <row r="7" spans="1:16" hidden="1" x14ac:dyDescent="0.25">
      <c r="A7" s="3" t="s">
        <v>92</v>
      </c>
      <c r="B7" t="s">
        <v>35</v>
      </c>
      <c r="C7" s="2" t="s">
        <v>34</v>
      </c>
      <c r="D7" s="19" t="s">
        <v>166</v>
      </c>
      <c r="E7" t="str">
        <f t="shared" si="0"/>
        <v>phoebe.gour@pushpin.com</v>
      </c>
      <c r="F7" s="7">
        <v>42721</v>
      </c>
      <c r="G7" s="4">
        <f t="shared" ca="1" si="1"/>
        <v>9.8222222222222229</v>
      </c>
      <c r="H7" s="1" t="s">
        <v>55</v>
      </c>
      <c r="I7" s="5" t="s">
        <v>126</v>
      </c>
      <c r="J7" s="6" t="str">
        <f t="shared" si="2"/>
        <v>02</v>
      </c>
      <c r="K7" s="6" t="str">
        <f t="shared" si="3"/>
        <v>2910</v>
      </c>
      <c r="L7" s="7">
        <v>42539</v>
      </c>
      <c r="M7" s="7">
        <f t="shared" si="4"/>
        <v>42904</v>
      </c>
      <c r="N7" s="8">
        <v>40500</v>
      </c>
      <c r="O7" s="16">
        <f t="shared" si="5"/>
        <v>3645</v>
      </c>
    </row>
    <row r="8" spans="1:16" hidden="1" x14ac:dyDescent="0.25">
      <c r="A8" s="3" t="s">
        <v>91</v>
      </c>
      <c r="B8" t="s">
        <v>158</v>
      </c>
      <c r="C8" s="2" t="s">
        <v>58</v>
      </c>
      <c r="D8" s="19" t="s">
        <v>165</v>
      </c>
      <c r="E8" t="str">
        <f t="shared" si="0"/>
        <v>sean.sanders@pushpin.com</v>
      </c>
      <c r="F8" s="7">
        <v>42691</v>
      </c>
      <c r="G8" s="4">
        <f t="shared" ca="1" si="1"/>
        <v>9.905555555555555</v>
      </c>
      <c r="H8" s="1" t="s">
        <v>17</v>
      </c>
      <c r="I8" s="5" t="s">
        <v>113</v>
      </c>
      <c r="J8" s="6" t="str">
        <f t="shared" si="2"/>
        <v>03</v>
      </c>
      <c r="K8" s="6" t="str">
        <f t="shared" si="3"/>
        <v>2765</v>
      </c>
      <c r="L8" s="7">
        <v>42566</v>
      </c>
      <c r="M8" s="7">
        <f t="shared" si="4"/>
        <v>42931</v>
      </c>
      <c r="N8" s="8">
        <v>38600</v>
      </c>
      <c r="O8" s="16">
        <f t="shared" si="5"/>
        <v>3474</v>
      </c>
    </row>
    <row r="9" spans="1:16" hidden="1" x14ac:dyDescent="0.25">
      <c r="A9" s="3" t="s">
        <v>90</v>
      </c>
      <c r="B9" t="s">
        <v>45</v>
      </c>
      <c r="C9" s="2" t="s">
        <v>44</v>
      </c>
      <c r="D9" s="19" t="s">
        <v>166</v>
      </c>
      <c r="E9" t="str">
        <f t="shared" si="0"/>
        <v>yvette.biti@pushpin.com</v>
      </c>
      <c r="F9" s="7">
        <v>42384</v>
      </c>
      <c r="G9" s="4">
        <f t="shared" ca="1" si="1"/>
        <v>10.744444444444444</v>
      </c>
      <c r="H9" s="1" t="s">
        <v>55</v>
      </c>
      <c r="I9" s="5" t="s">
        <v>100</v>
      </c>
      <c r="J9" s="6" t="str">
        <f t="shared" si="2"/>
        <v>02</v>
      </c>
      <c r="K9" s="6" t="str">
        <f t="shared" si="3"/>
        <v>2589</v>
      </c>
      <c r="L9" s="7">
        <v>42839</v>
      </c>
      <c r="M9" s="7">
        <f t="shared" si="4"/>
        <v>43204</v>
      </c>
      <c r="N9" s="8">
        <v>51400</v>
      </c>
      <c r="O9" s="16">
        <f t="shared" si="5"/>
        <v>4626</v>
      </c>
    </row>
    <row r="10" spans="1:16" hidden="1" x14ac:dyDescent="0.25">
      <c r="A10" s="3" t="s">
        <v>89</v>
      </c>
      <c r="B10" t="s">
        <v>152</v>
      </c>
      <c r="C10" s="2" t="s">
        <v>25</v>
      </c>
      <c r="D10" s="19" t="s">
        <v>165</v>
      </c>
      <c r="E10" t="str">
        <f t="shared" si="0"/>
        <v>mark.ellis@pushpin.com</v>
      </c>
      <c r="F10" s="7">
        <v>42371</v>
      </c>
      <c r="G10" s="4">
        <f t="shared" ca="1" si="1"/>
        <v>10.780555555555555</v>
      </c>
      <c r="H10" s="1" t="s">
        <v>59</v>
      </c>
      <c r="I10" s="5" t="s">
        <v>111</v>
      </c>
      <c r="J10" s="6" t="str">
        <f t="shared" si="2"/>
        <v>03</v>
      </c>
      <c r="K10" s="6" t="str">
        <f t="shared" si="3"/>
        <v>2482</v>
      </c>
      <c r="L10" s="7">
        <v>42619</v>
      </c>
      <c r="M10" s="7">
        <f t="shared" si="4"/>
        <v>42984</v>
      </c>
      <c r="N10" s="8">
        <v>58500</v>
      </c>
      <c r="O10" s="16">
        <f t="shared" si="5"/>
        <v>5265</v>
      </c>
    </row>
    <row r="11" spans="1:16" hidden="1" x14ac:dyDescent="0.25">
      <c r="A11" s="3" t="s">
        <v>88</v>
      </c>
      <c r="B11" t="s">
        <v>54</v>
      </c>
      <c r="C11" s="2" t="s">
        <v>52</v>
      </c>
      <c r="D11" s="19" t="s">
        <v>166</v>
      </c>
      <c r="E11" t="str">
        <f t="shared" si="0"/>
        <v>radhya.senome@pushpin.com</v>
      </c>
      <c r="F11" s="7">
        <v>42324</v>
      </c>
      <c r="G11" s="4">
        <f t="shared" ca="1" si="1"/>
        <v>10.908333333333333</v>
      </c>
      <c r="H11" s="1" t="s">
        <v>55</v>
      </c>
      <c r="I11" s="5" t="s">
        <v>128</v>
      </c>
      <c r="J11" s="6" t="str">
        <f t="shared" si="2"/>
        <v>02</v>
      </c>
      <c r="K11" s="6" t="str">
        <f t="shared" si="3"/>
        <v>2260</v>
      </c>
      <c r="L11" s="7">
        <v>42563</v>
      </c>
      <c r="M11" s="7">
        <f t="shared" si="4"/>
        <v>42928</v>
      </c>
      <c r="N11" s="8">
        <v>35600</v>
      </c>
      <c r="O11" s="16">
        <f t="shared" si="5"/>
        <v>3204</v>
      </c>
    </row>
    <row r="12" spans="1:16" hidden="1" x14ac:dyDescent="0.25">
      <c r="A12" s="3" t="s">
        <v>87</v>
      </c>
      <c r="B12" t="s">
        <v>53</v>
      </c>
      <c r="C12" s="2" t="s">
        <v>115</v>
      </c>
      <c r="D12" s="19" t="s">
        <v>165</v>
      </c>
      <c r="E12" t="str">
        <f t="shared" si="0"/>
        <v>peter.staples@pushpin.com</v>
      </c>
      <c r="F12" s="7">
        <v>42321</v>
      </c>
      <c r="G12" s="4">
        <f t="shared" ca="1" si="1"/>
        <v>10.916666666666666</v>
      </c>
      <c r="H12" s="1" t="s">
        <v>55</v>
      </c>
      <c r="I12" s="5" t="s">
        <v>130</v>
      </c>
      <c r="J12" s="6" t="str">
        <f t="shared" si="2"/>
        <v>02</v>
      </c>
      <c r="K12" s="6" t="str">
        <f t="shared" si="3"/>
        <v>2654</v>
      </c>
      <c r="L12" s="7">
        <v>42551</v>
      </c>
      <c r="M12" s="7">
        <f t="shared" si="4"/>
        <v>42916</v>
      </c>
      <c r="N12" s="8">
        <v>49600</v>
      </c>
      <c r="O12" s="16">
        <f t="shared" si="5"/>
        <v>4464</v>
      </c>
    </row>
    <row r="13" spans="1:16" hidden="1" x14ac:dyDescent="0.25">
      <c r="A13" s="3" t="s">
        <v>86</v>
      </c>
      <c r="B13" t="s">
        <v>156</v>
      </c>
      <c r="C13" s="2" t="s">
        <v>157</v>
      </c>
      <c r="D13" s="19" t="s">
        <v>165</v>
      </c>
      <c r="E13" t="str">
        <f t="shared" si="0"/>
        <v>carlos.martinez@pushpin.com</v>
      </c>
      <c r="F13" s="7">
        <v>42229</v>
      </c>
      <c r="G13" s="4">
        <f t="shared" ca="1" si="1"/>
        <v>11.166666666666666</v>
      </c>
      <c r="H13" s="1" t="s">
        <v>17</v>
      </c>
      <c r="I13" s="5" t="s">
        <v>99</v>
      </c>
      <c r="J13" s="6" t="str">
        <f t="shared" si="2"/>
        <v>03</v>
      </c>
      <c r="K13" s="6" t="str">
        <f t="shared" si="3"/>
        <v>2764</v>
      </c>
      <c r="L13" s="7">
        <v>42845</v>
      </c>
      <c r="M13" s="7">
        <f t="shared" si="4"/>
        <v>43210</v>
      </c>
      <c r="N13" s="8">
        <v>47900</v>
      </c>
      <c r="O13" s="16">
        <f t="shared" si="5"/>
        <v>4311</v>
      </c>
    </row>
    <row r="14" spans="1:16" hidden="1" x14ac:dyDescent="0.25">
      <c r="A14" s="3" t="s">
        <v>85</v>
      </c>
      <c r="B14" t="s">
        <v>151</v>
      </c>
      <c r="C14" s="2" t="s">
        <v>26</v>
      </c>
      <c r="D14" s="19" t="s">
        <v>166</v>
      </c>
      <c r="E14" t="str">
        <f t="shared" si="0"/>
        <v>alexandra.donnell@pushpin.com</v>
      </c>
      <c r="F14" s="7">
        <v>42228</v>
      </c>
      <c r="G14" s="4">
        <f t="shared" ca="1" si="1"/>
        <v>11.169444444444444</v>
      </c>
      <c r="H14" s="1" t="s">
        <v>15</v>
      </c>
      <c r="I14" s="5" t="s">
        <v>110</v>
      </c>
      <c r="J14" s="6" t="str">
        <f t="shared" si="2"/>
        <v>03</v>
      </c>
      <c r="K14" s="6" t="str">
        <f t="shared" si="3"/>
        <v>2082</v>
      </c>
      <c r="L14" s="7">
        <v>42629</v>
      </c>
      <c r="M14" s="7">
        <f t="shared" si="4"/>
        <v>42994</v>
      </c>
      <c r="N14" s="8">
        <v>54900</v>
      </c>
      <c r="O14" s="16">
        <f t="shared" si="5"/>
        <v>4941</v>
      </c>
    </row>
    <row r="15" spans="1:16" hidden="1" x14ac:dyDescent="0.25">
      <c r="A15" s="3" t="s">
        <v>84</v>
      </c>
      <c r="B15" t="s">
        <v>37</v>
      </c>
      <c r="C15" s="2" t="s">
        <v>36</v>
      </c>
      <c r="D15" s="19" t="s">
        <v>165</v>
      </c>
      <c r="E15" t="str">
        <f t="shared" si="0"/>
        <v>leighton.forrest@pushpin.com</v>
      </c>
      <c r="F15" s="7">
        <v>42120</v>
      </c>
      <c r="G15" s="4">
        <f t="shared" ca="1" si="1"/>
        <v>11.463888888888889</v>
      </c>
      <c r="H15" s="1" t="s">
        <v>55</v>
      </c>
      <c r="I15" s="5" t="s">
        <v>125</v>
      </c>
      <c r="J15" s="6" t="str">
        <f t="shared" si="2"/>
        <v>02</v>
      </c>
      <c r="K15" s="6" t="str">
        <f t="shared" si="3"/>
        <v>2284</v>
      </c>
      <c r="L15" s="7">
        <v>42586</v>
      </c>
      <c r="M15" s="7">
        <f t="shared" si="4"/>
        <v>42951</v>
      </c>
      <c r="N15" s="8">
        <v>56200</v>
      </c>
      <c r="O15" s="16">
        <f t="shared" si="5"/>
        <v>5058</v>
      </c>
    </row>
    <row r="16" spans="1:16" hidden="1" x14ac:dyDescent="0.25">
      <c r="A16" s="3" t="s">
        <v>83</v>
      </c>
      <c r="B16" t="s">
        <v>41</v>
      </c>
      <c r="C16" s="2" t="s">
        <v>40</v>
      </c>
      <c r="D16" s="19" t="s">
        <v>166</v>
      </c>
      <c r="E16" t="str">
        <f t="shared" si="0"/>
        <v>aanya.zhang@pushpin.com</v>
      </c>
      <c r="F16" s="7">
        <v>42002</v>
      </c>
      <c r="G16" s="4">
        <f t="shared" ca="1" si="1"/>
        <v>11.78888888888889</v>
      </c>
      <c r="H16" s="1" t="s">
        <v>55</v>
      </c>
      <c r="I16" s="5" t="s">
        <v>131</v>
      </c>
      <c r="J16" s="6" t="str">
        <f t="shared" si="2"/>
        <v>02</v>
      </c>
      <c r="K16" s="6" t="str">
        <f t="shared" si="3"/>
        <v>2793</v>
      </c>
      <c r="L16" s="7">
        <v>42540</v>
      </c>
      <c r="M16" s="7">
        <f t="shared" si="4"/>
        <v>42905</v>
      </c>
      <c r="N16" s="8">
        <v>46500</v>
      </c>
      <c r="O16" s="16">
        <f t="shared" si="5"/>
        <v>4185</v>
      </c>
    </row>
    <row r="17" spans="1:15" hidden="1" x14ac:dyDescent="0.25">
      <c r="A17" s="3" t="s">
        <v>82</v>
      </c>
      <c r="B17" t="s">
        <v>145</v>
      </c>
      <c r="C17" s="2" t="s">
        <v>146</v>
      </c>
      <c r="D17" s="19" t="s">
        <v>166</v>
      </c>
      <c r="E17" t="str">
        <f t="shared" si="0"/>
        <v>anna.clark@pushpin.com</v>
      </c>
      <c r="F17" s="7">
        <v>41989</v>
      </c>
      <c r="G17" s="4">
        <f t="shared" ca="1" si="1"/>
        <v>11.824999999999999</v>
      </c>
      <c r="H17" s="1" t="s">
        <v>15</v>
      </c>
      <c r="I17" s="5" t="s">
        <v>106</v>
      </c>
      <c r="J17" s="6" t="str">
        <f t="shared" si="2"/>
        <v>03</v>
      </c>
      <c r="K17" s="6" t="str">
        <f t="shared" si="3"/>
        <v>2601</v>
      </c>
      <c r="L17" s="7">
        <v>42731</v>
      </c>
      <c r="M17" s="7">
        <f t="shared" si="4"/>
        <v>43096</v>
      </c>
      <c r="N17" s="8">
        <v>58500</v>
      </c>
      <c r="O17" s="16">
        <f t="shared" si="5"/>
        <v>5265</v>
      </c>
    </row>
    <row r="18" spans="1:15" hidden="1" x14ac:dyDescent="0.25">
      <c r="A18" s="3" t="s">
        <v>81</v>
      </c>
      <c r="B18" t="s">
        <v>43</v>
      </c>
      <c r="C18" s="2" t="s">
        <v>42</v>
      </c>
      <c r="D18" s="19" t="s">
        <v>165</v>
      </c>
      <c r="E18" t="str">
        <f t="shared" si="0"/>
        <v>connor.betts@pushpin.com</v>
      </c>
      <c r="F18" s="7">
        <v>41956</v>
      </c>
      <c r="G18" s="4">
        <f t="shared" ca="1" si="1"/>
        <v>11.916666666666666</v>
      </c>
      <c r="H18" s="1" t="s">
        <v>55</v>
      </c>
      <c r="I18" s="5" t="s">
        <v>98</v>
      </c>
      <c r="J18" s="6" t="str">
        <f t="shared" si="2"/>
        <v>02</v>
      </c>
      <c r="K18" s="6" t="str">
        <f t="shared" si="3"/>
        <v>2347</v>
      </c>
      <c r="L18" s="7">
        <v>42848</v>
      </c>
      <c r="M18" s="7">
        <f t="shared" si="4"/>
        <v>43213</v>
      </c>
      <c r="N18" s="8">
        <v>52600</v>
      </c>
      <c r="O18" s="16">
        <f t="shared" si="5"/>
        <v>4734</v>
      </c>
    </row>
    <row r="19" spans="1:15" hidden="1" x14ac:dyDescent="0.25">
      <c r="A19" s="3" t="s">
        <v>80</v>
      </c>
      <c r="B19" t="s">
        <v>47</v>
      </c>
      <c r="C19" s="2" t="s">
        <v>46</v>
      </c>
      <c r="D19" s="19" t="s">
        <v>165</v>
      </c>
      <c r="E19" t="str">
        <f t="shared" si="0"/>
        <v>charlie.bui@pushpin.com</v>
      </c>
      <c r="F19" s="7">
        <v>41903</v>
      </c>
      <c r="G19" s="4">
        <f t="shared" ca="1" si="1"/>
        <v>12.061111111111112</v>
      </c>
      <c r="H19" s="1" t="s">
        <v>55</v>
      </c>
      <c r="I19" s="5" t="s">
        <v>117</v>
      </c>
      <c r="J19" s="6" t="str">
        <f t="shared" si="2"/>
        <v>02</v>
      </c>
      <c r="K19" s="6" t="str">
        <f t="shared" si="3"/>
        <v>2694</v>
      </c>
      <c r="L19" s="7">
        <v>42828</v>
      </c>
      <c r="M19" s="7">
        <f t="shared" si="4"/>
        <v>43193</v>
      </c>
      <c r="N19" s="8">
        <v>54700</v>
      </c>
      <c r="O19" s="16">
        <f t="shared" si="5"/>
        <v>4923</v>
      </c>
    </row>
    <row r="20" spans="1:15" hidden="1" x14ac:dyDescent="0.25">
      <c r="A20" s="3" t="s">
        <v>79</v>
      </c>
      <c r="B20" t="s">
        <v>139</v>
      </c>
      <c r="C20" s="2" t="s">
        <v>27</v>
      </c>
      <c r="D20" s="19" t="s">
        <v>165</v>
      </c>
      <c r="E20" t="str">
        <f t="shared" si="0"/>
        <v>jim.boller@pushpin.com</v>
      </c>
      <c r="F20" s="7">
        <v>41893</v>
      </c>
      <c r="G20" s="4">
        <f t="shared" ca="1" si="1"/>
        <v>12.088888888888889</v>
      </c>
      <c r="H20" s="1" t="s">
        <v>15</v>
      </c>
      <c r="I20" s="5" t="s">
        <v>116</v>
      </c>
      <c r="J20" s="6" t="str">
        <f t="shared" si="2"/>
        <v>03</v>
      </c>
      <c r="K20" s="6" t="str">
        <f t="shared" si="3"/>
        <v>2318</v>
      </c>
      <c r="L20" s="7">
        <v>42835</v>
      </c>
      <c r="M20" s="7">
        <f t="shared" si="4"/>
        <v>43200</v>
      </c>
      <c r="N20" s="8">
        <v>62800</v>
      </c>
      <c r="O20" s="16">
        <f t="shared" si="5"/>
        <v>5652</v>
      </c>
    </row>
    <row r="21" spans="1:15" hidden="1" x14ac:dyDescent="0.25">
      <c r="A21" s="3" t="s">
        <v>78</v>
      </c>
      <c r="B21" t="s">
        <v>141</v>
      </c>
      <c r="C21" s="2" t="s">
        <v>27</v>
      </c>
      <c r="D21" s="19" t="s">
        <v>165</v>
      </c>
      <c r="E21" t="str">
        <f t="shared" si="0"/>
        <v>jim.chaffee@pushpin.com</v>
      </c>
      <c r="F21" s="7">
        <v>41787</v>
      </c>
      <c r="G21" s="4">
        <f t="shared" ca="1" si="1"/>
        <v>12.375</v>
      </c>
      <c r="H21" s="1" t="s">
        <v>13</v>
      </c>
      <c r="I21" s="5" t="s">
        <v>102</v>
      </c>
      <c r="J21" s="6" t="str">
        <f t="shared" si="2"/>
        <v>03</v>
      </c>
      <c r="K21" s="6" t="str">
        <f t="shared" si="3"/>
        <v>2432</v>
      </c>
      <c r="L21" s="7">
        <v>42804</v>
      </c>
      <c r="M21" s="7">
        <f t="shared" si="4"/>
        <v>43169</v>
      </c>
      <c r="N21" s="8">
        <v>42100</v>
      </c>
      <c r="O21" s="16">
        <f t="shared" si="5"/>
        <v>3789</v>
      </c>
    </row>
    <row r="22" spans="1:15" hidden="1" x14ac:dyDescent="0.25">
      <c r="A22" s="3" t="s">
        <v>77</v>
      </c>
      <c r="B22" t="s">
        <v>147</v>
      </c>
      <c r="C22" s="2" t="s">
        <v>20</v>
      </c>
      <c r="D22" s="19" t="s">
        <v>166</v>
      </c>
      <c r="E22" t="str">
        <f t="shared" si="0"/>
        <v>sabrina.cole@pushpin.com</v>
      </c>
      <c r="F22" s="7">
        <v>41401</v>
      </c>
      <c r="G22" s="4">
        <f t="shared" ca="1" si="1"/>
        <v>13.433333333333334</v>
      </c>
      <c r="H22" s="1" t="s">
        <v>24</v>
      </c>
      <c r="I22" s="5" t="s">
        <v>108</v>
      </c>
      <c r="J22" s="6" t="str">
        <f t="shared" si="2"/>
        <v>02</v>
      </c>
      <c r="K22" s="6" t="str">
        <f t="shared" si="3"/>
        <v>2537</v>
      </c>
      <c r="L22" s="7">
        <v>42710</v>
      </c>
      <c r="M22" s="7">
        <f t="shared" si="4"/>
        <v>43075</v>
      </c>
      <c r="N22" s="8">
        <v>45100</v>
      </c>
      <c r="O22" s="16">
        <f t="shared" si="5"/>
        <v>4059</v>
      </c>
    </row>
    <row r="23" spans="1:15" hidden="1" x14ac:dyDescent="0.25">
      <c r="A23" s="3" t="s">
        <v>76</v>
      </c>
      <c r="B23" t="s">
        <v>149</v>
      </c>
      <c r="C23" s="2" t="s">
        <v>19</v>
      </c>
      <c r="D23" s="19" t="s">
        <v>165</v>
      </c>
      <c r="E23" t="str">
        <f t="shared" si="0"/>
        <v>bob.decker@pushpin.com</v>
      </c>
      <c r="F23" s="7">
        <v>41210</v>
      </c>
      <c r="G23" s="4">
        <f t="shared" ca="1" si="1"/>
        <v>13.958333333333334</v>
      </c>
      <c r="H23" s="1" t="s">
        <v>59</v>
      </c>
      <c r="I23" s="5" t="s">
        <v>120</v>
      </c>
      <c r="J23" s="6" t="str">
        <f t="shared" si="2"/>
        <v>01</v>
      </c>
      <c r="K23" s="6" t="str">
        <f t="shared" si="3"/>
        <v>2086</v>
      </c>
      <c r="L23" s="7">
        <v>42656</v>
      </c>
      <c r="M23" s="7">
        <f t="shared" si="4"/>
        <v>43021</v>
      </c>
      <c r="N23" s="8">
        <v>49600</v>
      </c>
      <c r="O23" s="16">
        <f t="shared" si="5"/>
        <v>4464</v>
      </c>
    </row>
    <row r="24" spans="1:15" hidden="1" x14ac:dyDescent="0.25">
      <c r="A24" s="3" t="s">
        <v>75</v>
      </c>
      <c r="B24" t="s">
        <v>150</v>
      </c>
      <c r="C24" s="2" t="s">
        <v>28</v>
      </c>
      <c r="D24" s="19" t="s">
        <v>166</v>
      </c>
      <c r="E24" t="str">
        <f t="shared" si="0"/>
        <v>tina.desiato@pushpin.com</v>
      </c>
      <c r="F24" s="7">
        <v>41175</v>
      </c>
      <c r="G24" s="4">
        <f t="shared" ca="1" si="1"/>
        <v>14.055555555555555</v>
      </c>
      <c r="H24" t="s">
        <v>59</v>
      </c>
      <c r="I24" s="5" t="s">
        <v>121</v>
      </c>
      <c r="J24" s="6" t="str">
        <f t="shared" si="2"/>
        <v>01</v>
      </c>
      <c r="K24" s="6" t="str">
        <f t="shared" si="3"/>
        <v>2358</v>
      </c>
      <c r="L24" s="7">
        <v>42652</v>
      </c>
      <c r="M24" s="7">
        <f t="shared" si="4"/>
        <v>43017</v>
      </c>
      <c r="N24" s="8">
        <v>51700</v>
      </c>
      <c r="O24" s="16">
        <f t="shared" si="5"/>
        <v>4653</v>
      </c>
    </row>
    <row r="25" spans="1:15" x14ac:dyDescent="0.25">
      <c r="A25" s="3" t="s">
        <v>8</v>
      </c>
      <c r="B25" t="s">
        <v>140</v>
      </c>
      <c r="C25" s="2" t="s">
        <v>23</v>
      </c>
      <c r="D25" s="19" t="s">
        <v>165</v>
      </c>
      <c r="E25" t="str">
        <f>LOWER(C25&amp;"."&amp;B25&amp;"@pushpin.com")</f>
        <v>joe.carol@pushpin.com</v>
      </c>
      <c r="F25" s="7">
        <v>36923</v>
      </c>
      <c r="G25" s="4">
        <f ca="1">YEARFRAC(F25,TODAY())</f>
        <v>25.7</v>
      </c>
      <c r="H25" s="1" t="s">
        <v>22</v>
      </c>
      <c r="I25" s="5" t="s">
        <v>118</v>
      </c>
      <c r="J25" s="6" t="str">
        <f>LEFT(I25,2)</f>
        <v>01</v>
      </c>
      <c r="K25" s="6" t="str">
        <f>RIGHT(I25,4)</f>
        <v>2321</v>
      </c>
      <c r="L25" s="7">
        <v>42817</v>
      </c>
      <c r="M25" s="7">
        <f>L25+365</f>
        <v>43182</v>
      </c>
      <c r="N25" s="8">
        <v>101400</v>
      </c>
      <c r="O25" s="16">
        <f>N25*Pension_Rate</f>
        <v>9126</v>
      </c>
    </row>
    <row r="26" spans="1:15" hidden="1" x14ac:dyDescent="0.25">
      <c r="A26" s="3" t="s">
        <v>73</v>
      </c>
      <c r="B26" t="s">
        <v>39</v>
      </c>
      <c r="C26" s="2" t="s">
        <v>38</v>
      </c>
      <c r="D26" s="19" t="s">
        <v>166</v>
      </c>
      <c r="E26" t="str">
        <f>LOWER(C26&amp;"."&amp;B26&amp;"@pushpin.com")</f>
        <v>natasha.song@pushpin.com</v>
      </c>
      <c r="F26" s="7">
        <v>40713</v>
      </c>
      <c r="G26" s="4">
        <f ca="1">YEARFRAC(F26,TODAY())</f>
        <v>15.316666666666666</v>
      </c>
      <c r="H26" s="1" t="s">
        <v>55</v>
      </c>
      <c r="I26" s="5" t="s">
        <v>129</v>
      </c>
      <c r="J26" s="6" t="str">
        <f>LEFT(I26,2)</f>
        <v>02</v>
      </c>
      <c r="K26" s="6" t="str">
        <f>RIGHT(I26,4)</f>
        <v>2578</v>
      </c>
      <c r="L26" s="7">
        <v>42552</v>
      </c>
      <c r="M26" s="7">
        <f>L26+365</f>
        <v>42917</v>
      </c>
      <c r="N26" s="8">
        <v>56000</v>
      </c>
      <c r="O26" s="16">
        <f>N26*Pension_Rate</f>
        <v>5040</v>
      </c>
    </row>
    <row r="27" spans="1:15" hidden="1" x14ac:dyDescent="0.25">
      <c r="A27" s="3" t="s">
        <v>72</v>
      </c>
      <c r="B27" t="s">
        <v>31</v>
      </c>
      <c r="C27" s="2" t="s">
        <v>30</v>
      </c>
      <c r="D27" s="19" t="s">
        <v>166</v>
      </c>
      <c r="E27" t="str">
        <f>LOWER(C27&amp;"."&amp;B27&amp;"@pushpin.com")</f>
        <v>samantha.chairs@pushpin.com</v>
      </c>
      <c r="F27" s="7">
        <v>40595</v>
      </c>
      <c r="G27" s="4">
        <f ca="1">YEARFRAC(F27,TODAY())</f>
        <v>15.644444444444444</v>
      </c>
      <c r="H27" s="1" t="s">
        <v>55</v>
      </c>
      <c r="I27" s="5" t="s">
        <v>103</v>
      </c>
      <c r="J27" s="6" t="str">
        <f>LEFT(I27,2)</f>
        <v>02</v>
      </c>
      <c r="K27" s="6" t="str">
        <f>RIGHT(I27,4)</f>
        <v>2962</v>
      </c>
      <c r="L27" s="7">
        <v>42801</v>
      </c>
      <c r="M27" s="7">
        <f>L27+365</f>
        <v>43166</v>
      </c>
      <c r="N27" s="8">
        <v>59300</v>
      </c>
      <c r="O27" s="16">
        <f>N27*Pension_Rate</f>
        <v>5337</v>
      </c>
    </row>
    <row r="28" spans="1:15" hidden="1" x14ac:dyDescent="0.25">
      <c r="A28" s="3" t="s">
        <v>71</v>
      </c>
      <c r="B28" t="s">
        <v>143</v>
      </c>
      <c r="C28" s="2" t="s">
        <v>16</v>
      </c>
      <c r="D28" s="19" t="s">
        <v>166</v>
      </c>
      <c r="E28" t="str">
        <f>LOWER(C28&amp;"."&amp;B28&amp;"@pushpin.com")</f>
        <v>elizabeth.chu@pushpin.com</v>
      </c>
      <c r="F28" s="7">
        <v>40220</v>
      </c>
      <c r="G28" s="4">
        <f ca="1">YEARFRAC(F28,TODAY())</f>
        <v>16.672222222222221</v>
      </c>
      <c r="H28" s="1" t="s">
        <v>59</v>
      </c>
      <c r="I28" s="5" t="s">
        <v>104</v>
      </c>
      <c r="J28" s="6" t="str">
        <f>LEFT(I28,2)</f>
        <v>01</v>
      </c>
      <c r="K28" s="6" t="str">
        <f>RIGHT(I28,4)</f>
        <v>2425</v>
      </c>
      <c r="L28" s="7">
        <v>42761</v>
      </c>
      <c r="M28" s="7">
        <f>L28+365</f>
        <v>43126</v>
      </c>
      <c r="N28" s="8">
        <v>48400</v>
      </c>
      <c r="O28" s="16">
        <f>N28*Pension_Rate</f>
        <v>4356</v>
      </c>
    </row>
    <row r="29" spans="1:15" x14ac:dyDescent="0.25">
      <c r="A29" s="3" t="s">
        <v>93</v>
      </c>
      <c r="B29" t="s">
        <v>159</v>
      </c>
      <c r="C29" s="2" t="s">
        <v>57</v>
      </c>
      <c r="D29" s="19" t="s">
        <v>166</v>
      </c>
      <c r="E29" t="str">
        <f>LOWER(C29&amp;"."&amp;B29&amp;"@pushpin.com")</f>
        <v>mei.wang@pushpin.com</v>
      </c>
      <c r="F29" s="7">
        <v>40188</v>
      </c>
      <c r="G29" s="4">
        <f ca="1">YEARFRAC(F29,TODAY())</f>
        <v>16.758333333333333</v>
      </c>
      <c r="H29" s="1" t="s">
        <v>22</v>
      </c>
      <c r="I29" s="5" t="s">
        <v>114</v>
      </c>
      <c r="J29" s="6" t="str">
        <f>LEFT(I29,2)</f>
        <v>01</v>
      </c>
      <c r="K29" s="6" t="str">
        <f>RIGHT(I29,4)</f>
        <v>2783</v>
      </c>
      <c r="L29" s="7">
        <v>42544</v>
      </c>
      <c r="M29" s="7">
        <f>L29+365</f>
        <v>42909</v>
      </c>
      <c r="N29" s="8">
        <v>96400</v>
      </c>
      <c r="O29" s="16">
        <f>N29*Pension_Rate</f>
        <v>8676</v>
      </c>
    </row>
    <row r="30" spans="1:15" hidden="1" x14ac:dyDescent="0.25">
      <c r="A30" s="3" t="s">
        <v>70</v>
      </c>
      <c r="B30" t="s">
        <v>33</v>
      </c>
      <c r="C30" s="2" t="s">
        <v>32</v>
      </c>
      <c r="D30" s="19" t="s">
        <v>165</v>
      </c>
      <c r="E30" t="str">
        <f>LOWER(C30&amp;"."&amp;B30&amp;"@pushpin.com")</f>
        <v>mihael.khan@pushpin.com</v>
      </c>
      <c r="F30" s="7">
        <v>40160</v>
      </c>
      <c r="G30" s="4">
        <f ca="1">YEARFRAC(F30,TODAY())</f>
        <v>16.833333333333332</v>
      </c>
      <c r="H30" s="1" t="s">
        <v>55</v>
      </c>
      <c r="I30" s="5" t="s">
        <v>127</v>
      </c>
      <c r="J30" s="6" t="str">
        <f>LEFT(I30,2)</f>
        <v>02</v>
      </c>
      <c r="K30" s="6" t="str">
        <f>RIGHT(I30,4)</f>
        <v>2294</v>
      </c>
      <c r="L30" s="7">
        <v>42566</v>
      </c>
      <c r="M30" s="7">
        <f>L30+365</f>
        <v>42931</v>
      </c>
      <c r="N30" s="8">
        <v>55500</v>
      </c>
      <c r="O30" s="16">
        <f>N30*Pension_Rate</f>
        <v>4995</v>
      </c>
    </row>
    <row r="31" spans="1:15" hidden="1" x14ac:dyDescent="0.25">
      <c r="A31" s="3" t="s">
        <v>69</v>
      </c>
      <c r="B31" t="s">
        <v>148</v>
      </c>
      <c r="C31" s="2" t="s">
        <v>18</v>
      </c>
      <c r="D31" s="19" t="s">
        <v>166</v>
      </c>
      <c r="E31" t="str">
        <f>LOWER(C31&amp;"."&amp;B31&amp;"@pushpin.com")</f>
        <v>janet.comuntzis@pushpin.com</v>
      </c>
      <c r="F31" s="7">
        <v>39686</v>
      </c>
      <c r="G31" s="4">
        <f ca="1">YEARFRAC(F31,TODAY())</f>
        <v>18.130555555555556</v>
      </c>
      <c r="H31" s="1" t="s">
        <v>24</v>
      </c>
      <c r="I31" s="5" t="s">
        <v>109</v>
      </c>
      <c r="J31" s="6" t="str">
        <f>LEFT(I31,2)</f>
        <v>02</v>
      </c>
      <c r="K31" s="6" t="str">
        <f>RIGHT(I31,4)</f>
        <v>2286</v>
      </c>
      <c r="L31" s="7">
        <v>42658</v>
      </c>
      <c r="M31" s="7">
        <f>L31+365</f>
        <v>43023</v>
      </c>
      <c r="N31" s="8">
        <v>55800</v>
      </c>
      <c r="O31" s="16">
        <f>N31*Pension_Rate</f>
        <v>5022</v>
      </c>
    </row>
    <row r="32" spans="1:15" hidden="1" x14ac:dyDescent="0.25">
      <c r="A32" s="3" t="s">
        <v>68</v>
      </c>
      <c r="B32" t="s">
        <v>49</v>
      </c>
      <c r="C32" s="2" t="s">
        <v>48</v>
      </c>
      <c r="D32" s="19" t="s">
        <v>165</v>
      </c>
      <c r="E32" t="str">
        <f>LOWER(C32&amp;"."&amp;B32&amp;"@pushpin.com")</f>
        <v>stevie.bacata@pushpin.com</v>
      </c>
      <c r="F32" s="7">
        <v>39551</v>
      </c>
      <c r="G32" s="4">
        <f ca="1">YEARFRAC(F32,TODAY())</f>
        <v>18.5</v>
      </c>
      <c r="H32" s="1" t="s">
        <v>55</v>
      </c>
      <c r="I32" s="5" t="s">
        <v>96</v>
      </c>
      <c r="J32" s="6" t="str">
        <f>LEFT(I32,2)</f>
        <v>02</v>
      </c>
      <c r="K32" s="6" t="str">
        <f>RIGHT(I32,4)</f>
        <v>2635</v>
      </c>
      <c r="L32" s="7">
        <v>42507</v>
      </c>
      <c r="M32" s="7">
        <f>L32+365</f>
        <v>42872</v>
      </c>
      <c r="N32" s="8">
        <v>58200</v>
      </c>
      <c r="O32" s="16">
        <f>N32*Pension_Rate</f>
        <v>5238</v>
      </c>
    </row>
    <row r="33" spans="1:15" hidden="1" x14ac:dyDescent="0.25">
      <c r="A33" s="3" t="s">
        <v>67</v>
      </c>
      <c r="B33" t="s">
        <v>51</v>
      </c>
      <c r="C33" s="2" t="s">
        <v>50</v>
      </c>
      <c r="D33" s="19" t="s">
        <v>165</v>
      </c>
      <c r="E33" t="str">
        <f>LOWER(C33&amp;"."&amp;B33&amp;"@pushpin.com")</f>
        <v>nicholas.fernandes@pushpin.com</v>
      </c>
      <c r="F33" s="7">
        <v>39023</v>
      </c>
      <c r="G33" s="4">
        <f ca="1">YEARFRAC(F33,TODAY())</f>
        <v>19.947222222222223</v>
      </c>
      <c r="H33" s="1" t="s">
        <v>15</v>
      </c>
      <c r="I33" s="5" t="s">
        <v>122</v>
      </c>
      <c r="J33" s="6" t="str">
        <f>LEFT(I33,2)</f>
        <v>02</v>
      </c>
      <c r="K33" s="6" t="str">
        <f>RIGHT(I33,4)</f>
        <v>2372</v>
      </c>
      <c r="L33" s="7">
        <v>42614</v>
      </c>
      <c r="M33" s="7">
        <f>L33+365</f>
        <v>42979</v>
      </c>
      <c r="N33" s="8">
        <v>51600</v>
      </c>
      <c r="O33" s="16">
        <f>N33*Pension_Rate</f>
        <v>4644</v>
      </c>
    </row>
    <row r="34" spans="1:15" hidden="1" x14ac:dyDescent="0.25">
      <c r="A34" s="3" t="s">
        <v>66</v>
      </c>
      <c r="B34" t="s">
        <v>29</v>
      </c>
      <c r="C34" s="2" t="s">
        <v>28</v>
      </c>
      <c r="D34" s="19" t="s">
        <v>166</v>
      </c>
      <c r="E34" t="str">
        <f>LOWER(C34&amp;"."&amp;B34&amp;"@pushpin.com")</f>
        <v>tina.carlton@pushpin.com</v>
      </c>
      <c r="F34" s="7">
        <v>38798</v>
      </c>
      <c r="G34" s="4">
        <f ca="1">YEARFRAC(F34,TODAY())</f>
        <v>20.558333333333334</v>
      </c>
      <c r="H34" s="1" t="s">
        <v>55</v>
      </c>
      <c r="I34" s="5" t="s">
        <v>101</v>
      </c>
      <c r="J34" s="6" t="str">
        <f>LEFT(I34,2)</f>
        <v>02</v>
      </c>
      <c r="K34" s="6" t="str">
        <f>RIGHT(I34,4)</f>
        <v>2699</v>
      </c>
      <c r="L34" s="7">
        <v>42825</v>
      </c>
      <c r="M34" s="7">
        <f>L34+365</f>
        <v>43190</v>
      </c>
      <c r="N34" s="8">
        <v>59200</v>
      </c>
      <c r="O34" s="16">
        <f>N34*Pension_Rate</f>
        <v>5328</v>
      </c>
    </row>
    <row r="35" spans="1:15" hidden="1" x14ac:dyDescent="0.25">
      <c r="A35" s="3" t="s">
        <v>65</v>
      </c>
      <c r="B35" t="s">
        <v>154</v>
      </c>
      <c r="C35" s="2" t="s">
        <v>14</v>
      </c>
      <c r="D35" s="19" t="s">
        <v>166</v>
      </c>
      <c r="E35" t="str">
        <f>LOWER(C35&amp;"."&amp;B35&amp;"@pushpin.com")</f>
        <v>susan.filosa@pushpin.com</v>
      </c>
      <c r="F35" s="7">
        <v>38744</v>
      </c>
      <c r="G35" s="4">
        <f ca="1">YEARFRAC(F35,TODAY())</f>
        <v>20.711111111111112</v>
      </c>
      <c r="H35" s="1" t="s">
        <v>24</v>
      </c>
      <c r="I35" s="5" t="s">
        <v>112</v>
      </c>
      <c r="J35" s="6" t="str">
        <f>LEFT(I35,2)</f>
        <v>02</v>
      </c>
      <c r="K35" s="6" t="str">
        <f>RIGHT(I35,4)</f>
        <v>2279</v>
      </c>
      <c r="L35" s="7">
        <v>42596</v>
      </c>
      <c r="M35" s="7">
        <f>L35+365</f>
        <v>42961</v>
      </c>
      <c r="N35" s="8">
        <v>58400</v>
      </c>
      <c r="O35" s="16">
        <f>N35*Pension_Rate</f>
        <v>5256</v>
      </c>
    </row>
    <row r="36" spans="1:15" hidden="1" x14ac:dyDescent="0.25">
      <c r="A36" s="3" t="s">
        <v>64</v>
      </c>
      <c r="B36" t="s">
        <v>153</v>
      </c>
      <c r="C36" s="2" t="s">
        <v>21</v>
      </c>
      <c r="D36" s="19" t="s">
        <v>166</v>
      </c>
      <c r="E36" t="str">
        <f>LOWER(C36&amp;"."&amp;B36&amp;"@pushpin.com")</f>
        <v>mary.ferris@pushpin.com</v>
      </c>
      <c r="F36" s="7">
        <v>38548</v>
      </c>
      <c r="G36" s="4">
        <f ca="1">YEARFRAC(F36,TODAY())</f>
        <v>21.244444444444444</v>
      </c>
      <c r="H36" s="1" t="s">
        <v>55</v>
      </c>
      <c r="I36" s="5" t="s">
        <v>123</v>
      </c>
      <c r="J36" s="6" t="str">
        <f>LEFT(I36,2)</f>
        <v>03</v>
      </c>
      <c r="K36" s="6" t="str">
        <f>RIGHT(I36,4)</f>
        <v>2392</v>
      </c>
      <c r="L36" s="7">
        <v>42598</v>
      </c>
      <c r="M36" s="7">
        <f>L36+365</f>
        <v>42963</v>
      </c>
      <c r="N36" s="8">
        <v>62900</v>
      </c>
      <c r="O36" s="16">
        <f>N36*Pension_Rate</f>
        <v>5661</v>
      </c>
    </row>
    <row r="37" spans="1:15" hidden="1" x14ac:dyDescent="0.25">
      <c r="A37" s="3" t="s">
        <v>63</v>
      </c>
      <c r="B37" t="s">
        <v>138</v>
      </c>
      <c r="C37" s="2" t="s">
        <v>12</v>
      </c>
      <c r="D37" s="19" t="s">
        <v>165</v>
      </c>
      <c r="E37" t="str">
        <f>LOWER(C37&amp;"."&amp;B37&amp;"@pushpin.com")</f>
        <v>adam.barry@pushpin.com</v>
      </c>
      <c r="F37" s="7">
        <v>38099</v>
      </c>
      <c r="G37" s="4">
        <f ca="1">YEARFRAC(F37,TODAY())</f>
        <v>22.475000000000001</v>
      </c>
      <c r="H37" s="1" t="s">
        <v>24</v>
      </c>
      <c r="I37" s="5" t="s">
        <v>97</v>
      </c>
      <c r="J37" s="6" t="str">
        <f>LEFT(I37,2)</f>
        <v>02</v>
      </c>
      <c r="K37" s="6" t="str">
        <f>RIGHT(I37,4)</f>
        <v>2018</v>
      </c>
      <c r="L37" s="7">
        <v>42860</v>
      </c>
      <c r="M37" s="7">
        <f>L37+365</f>
        <v>43225</v>
      </c>
      <c r="N37" s="8">
        <v>59200</v>
      </c>
      <c r="O37" s="16">
        <f>N37*Pension_Rate</f>
        <v>5328</v>
      </c>
    </row>
    <row r="38" spans="1:15" x14ac:dyDescent="0.25">
      <c r="A38" s="3" t="s">
        <v>9</v>
      </c>
      <c r="B38" t="s">
        <v>144</v>
      </c>
      <c r="C38" s="2" t="s">
        <v>56</v>
      </c>
      <c r="D38" s="19" t="s">
        <v>165</v>
      </c>
      <c r="E38" t="str">
        <f>LOWER(C38&amp;"."&amp;B38&amp;"@pushpin.com")</f>
        <v>eric.chung@pushpin.com</v>
      </c>
      <c r="F38" s="7">
        <v>36949</v>
      </c>
      <c r="G38" s="4">
        <f ca="1">YEARFRAC(F38,TODAY())</f>
        <v>25.627777777777776</v>
      </c>
      <c r="H38" s="1" t="s">
        <v>59</v>
      </c>
      <c r="I38" s="5" t="s">
        <v>105</v>
      </c>
      <c r="J38" s="6" t="str">
        <f>LEFT(I38,2)</f>
        <v>03</v>
      </c>
      <c r="K38" s="6" t="str">
        <f>RIGHT(I38,4)</f>
        <v>2796</v>
      </c>
      <c r="L38" s="7">
        <v>42731</v>
      </c>
      <c r="M38" s="7">
        <f>L38+365</f>
        <v>43096</v>
      </c>
      <c r="N38" s="8">
        <v>70300</v>
      </c>
      <c r="O38" s="16">
        <f>N38*Pension_Rate</f>
        <v>6327</v>
      </c>
    </row>
    <row r="39" spans="1:15" x14ac:dyDescent="0.25">
      <c r="A39" s="3" t="s">
        <v>11</v>
      </c>
      <c r="B39" t="s">
        <v>155</v>
      </c>
      <c r="C39" s="2" t="s">
        <v>10</v>
      </c>
      <c r="D39" s="19" t="s">
        <v>165</v>
      </c>
      <c r="E39" t="str">
        <f>LOWER(C39&amp;"."&amp;B39&amp;"@pushpin.com")</f>
        <v>daniel.flanders@pushpin.com</v>
      </c>
      <c r="F39" s="7">
        <v>37510</v>
      </c>
      <c r="G39" s="4">
        <f ca="1">YEARFRAC(F39,TODAY())</f>
        <v>24.088888888888889</v>
      </c>
      <c r="H39" s="1" t="s">
        <v>55</v>
      </c>
      <c r="I39" s="5" t="s">
        <v>124</v>
      </c>
      <c r="J39" s="6" t="str">
        <f>LEFT(I39,2)</f>
        <v>02</v>
      </c>
      <c r="K39" s="6" t="str">
        <f>RIGHT(I39,4)</f>
        <v>2639</v>
      </c>
      <c r="L39" s="7">
        <v>42590</v>
      </c>
      <c r="M39" s="7">
        <f>L39+365</f>
        <v>42955</v>
      </c>
      <c r="N39" s="8">
        <v>68800</v>
      </c>
      <c r="O39" s="16">
        <f>N39*Pension_Rate</f>
        <v>6192</v>
      </c>
    </row>
    <row r="40" spans="1:15" x14ac:dyDescent="0.25">
      <c r="A40" s="3" t="s">
        <v>74</v>
      </c>
      <c r="B40" t="s">
        <v>142</v>
      </c>
      <c r="C40" s="2" t="s">
        <v>61</v>
      </c>
      <c r="D40" s="19" t="s">
        <v>166</v>
      </c>
      <c r="E40" t="str">
        <f>LOWER(C40&amp;"."&amp;B40&amp;"@pushpin.com")</f>
        <v>uma.chaudri@pushpin.com</v>
      </c>
      <c r="F40" s="7">
        <v>40994</v>
      </c>
      <c r="G40" s="4">
        <f ca="1">YEARFRAC(F40,TODAY())</f>
        <v>14.547222222222222</v>
      </c>
      <c r="H40" s="1" t="s">
        <v>17</v>
      </c>
      <c r="I40" s="5" t="s">
        <v>119</v>
      </c>
      <c r="J40" s="6" t="str">
        <f>LEFT(I40,2)</f>
        <v>03</v>
      </c>
      <c r="K40" s="6" t="str">
        <f>RIGHT(I40,4)</f>
        <v>2134</v>
      </c>
      <c r="L40" s="7">
        <v>42776</v>
      </c>
      <c r="M40" s="7">
        <f>L40+365</f>
        <v>43141</v>
      </c>
      <c r="N40" s="8">
        <v>63200</v>
      </c>
      <c r="O40" s="16">
        <f>N40*Pension_Rate</f>
        <v>5688</v>
      </c>
    </row>
    <row r="41" spans="1:15" x14ac:dyDescent="0.25">
      <c r="A41" s="3">
        <f>SUBTOTAL(103,HR_78[Emp ID])</f>
        <v>5</v>
      </c>
      <c r="C41" s="2"/>
      <c r="D41" s="19"/>
      <c r="G41" s="4">
        <f ca="1">SUBTOTAL(101,HR_78[Years Service])</f>
        <v>21.344444444444441</v>
      </c>
      <c r="H41" s="21"/>
      <c r="I41" s="22"/>
      <c r="J41" s="3"/>
      <c r="K41" s="3"/>
      <c r="L41" s="3"/>
      <c r="M41" s="3"/>
      <c r="N41" s="8"/>
      <c r="O41" s="16">
        <f>SUBTOTAL(109,HR_78[Pension])</f>
        <v>36009</v>
      </c>
    </row>
    <row r="43" spans="1:15" ht="15.75" x14ac:dyDescent="0.25">
      <c r="E43" s="13"/>
    </row>
    <row r="44" spans="1:15" ht="15.75" x14ac:dyDescent="0.25">
      <c r="E44" s="13"/>
    </row>
    <row r="45" spans="1:15" ht="15.75" x14ac:dyDescent="0.25">
      <c r="E45" s="13"/>
    </row>
  </sheetData>
  <conditionalFormatting sqref="M6:M40">
    <cfRule type="cellIs" dxfId="7" priority="1" operator="equal">
      <formula>0</formula>
    </cfRule>
    <cfRule type="expression" dxfId="6" priority="2">
      <formula>M6&lt;TODAY()</formula>
    </cfRule>
  </conditionalFormatting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AC57-CF71-4A71-A5A2-5373C5F73DF5}">
  <dimension ref="A1:P45"/>
  <sheetViews>
    <sheetView tabSelected="1" zoomScaleNormal="100" workbookViewId="0">
      <selection activeCell="L46" sqref="L46"/>
    </sheetView>
  </sheetViews>
  <sheetFormatPr defaultRowHeight="15" x14ac:dyDescent="0.25"/>
  <cols>
    <col min="1" max="1" width="9.140625" style="3" customWidth="1"/>
    <col min="2" max="2" width="13" customWidth="1"/>
    <col min="3" max="3" width="11.85546875" customWidth="1"/>
    <col min="4" max="4" width="9.5703125" style="3" customWidth="1"/>
    <col min="5" max="5" width="29.140625" bestFit="1" customWidth="1"/>
    <col min="6" max="6" width="14" style="3" customWidth="1"/>
    <col min="7" max="7" width="14.85546875" customWidth="1"/>
    <col min="8" max="8" width="17.570312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42578125" customWidth="1"/>
    <col min="14" max="14" width="15.140625" customWidth="1"/>
    <col min="15" max="15" width="11.42578125" bestFit="1" customWidth="1"/>
  </cols>
  <sheetData>
    <row r="1" spans="1:16" ht="28.5" x14ac:dyDescent="0.45">
      <c r="A1" s="18" t="s">
        <v>95</v>
      </c>
      <c r="O1" s="14" t="s">
        <v>161</v>
      </c>
      <c r="P1" s="15">
        <v>0.09</v>
      </c>
    </row>
    <row r="2" spans="1:16" ht="28.5" x14ac:dyDescent="0.45">
      <c r="A2" s="18"/>
    </row>
    <row r="3" spans="1:16" ht="28.5" x14ac:dyDescent="0.45">
      <c r="A3" s="18"/>
    </row>
    <row r="5" spans="1:16" x14ac:dyDescent="0.25">
      <c r="A5" t="s">
        <v>0</v>
      </c>
      <c r="B5" t="s">
        <v>1</v>
      </c>
      <c r="C5" t="s">
        <v>2</v>
      </c>
      <c r="D5" t="s">
        <v>164</v>
      </c>
      <c r="E5" t="s">
        <v>3</v>
      </c>
      <c r="F5" t="s">
        <v>4</v>
      </c>
      <c r="G5" t="s">
        <v>62</v>
      </c>
      <c r="H5" t="s">
        <v>5</v>
      </c>
      <c r="I5" t="s">
        <v>6</v>
      </c>
      <c r="J5" t="s">
        <v>60</v>
      </c>
      <c r="K5" t="s">
        <v>7</v>
      </c>
      <c r="L5" t="s">
        <v>132</v>
      </c>
      <c r="M5" t="s">
        <v>133</v>
      </c>
      <c r="N5" t="s">
        <v>170</v>
      </c>
      <c r="O5" t="s">
        <v>160</v>
      </c>
    </row>
    <row r="6" spans="1:16" hidden="1" x14ac:dyDescent="0.25">
      <c r="A6" s="3" t="s">
        <v>94</v>
      </c>
      <c r="B6" t="s">
        <v>145</v>
      </c>
      <c r="C6" s="2" t="s">
        <v>16</v>
      </c>
      <c r="D6" s="19" t="s">
        <v>166</v>
      </c>
      <c r="E6" t="str">
        <f t="shared" ref="E6:E40" si="0">LOWER(C6&amp;"."&amp;B6&amp;"@pushpin.com")</f>
        <v>elizabeth.clark@pushpin.com</v>
      </c>
      <c r="F6" s="7">
        <v>42874</v>
      </c>
      <c r="G6" s="4">
        <f t="shared" ref="G6:G40" ca="1" si="1">YEARFRAC(F6,TODAY())</f>
        <v>9.4</v>
      </c>
      <c r="H6" s="1" t="s">
        <v>24</v>
      </c>
      <c r="I6" s="5" t="s">
        <v>107</v>
      </c>
      <c r="J6" s="6" t="str">
        <f t="shared" ref="J6:J40" si="2">LEFT(I6,2)</f>
        <v>02</v>
      </c>
      <c r="K6" s="6" t="str">
        <f t="shared" ref="K6:K40" si="3">RIGHT(I6,4)</f>
        <v>2414</v>
      </c>
      <c r="L6" s="7">
        <v>42720</v>
      </c>
      <c r="M6" s="7">
        <f t="shared" ref="M6:M40" si="4">L6+365</f>
        <v>43085</v>
      </c>
      <c r="N6" s="8">
        <v>37000</v>
      </c>
      <c r="O6" s="16">
        <f t="shared" ref="O6:O40" si="5">N6*Pension_Rate</f>
        <v>3330</v>
      </c>
    </row>
    <row r="7" spans="1:16" hidden="1" x14ac:dyDescent="0.25">
      <c r="A7" s="3" t="s">
        <v>92</v>
      </c>
      <c r="B7" t="s">
        <v>35</v>
      </c>
      <c r="C7" s="2" t="s">
        <v>34</v>
      </c>
      <c r="D7" s="19" t="s">
        <v>166</v>
      </c>
      <c r="E7" t="str">
        <f t="shared" si="0"/>
        <v>phoebe.gour@pushpin.com</v>
      </c>
      <c r="F7" s="7">
        <v>42721</v>
      </c>
      <c r="G7" s="4">
        <f t="shared" ca="1" si="1"/>
        <v>9.8222222222222229</v>
      </c>
      <c r="H7" s="1" t="s">
        <v>55</v>
      </c>
      <c r="I7" s="5" t="s">
        <v>126</v>
      </c>
      <c r="J7" s="6" t="str">
        <f t="shared" si="2"/>
        <v>02</v>
      </c>
      <c r="K7" s="6" t="str">
        <f t="shared" si="3"/>
        <v>2910</v>
      </c>
      <c r="L7" s="7">
        <v>42539</v>
      </c>
      <c r="M7" s="7">
        <f t="shared" si="4"/>
        <v>42904</v>
      </c>
      <c r="N7" s="8">
        <v>40500</v>
      </c>
      <c r="O7" s="16">
        <f t="shared" si="5"/>
        <v>3645</v>
      </c>
    </row>
    <row r="8" spans="1:16" hidden="1" x14ac:dyDescent="0.25">
      <c r="A8" s="3" t="s">
        <v>91</v>
      </c>
      <c r="B8" t="s">
        <v>158</v>
      </c>
      <c r="C8" s="2" t="s">
        <v>58</v>
      </c>
      <c r="D8" s="19" t="s">
        <v>165</v>
      </c>
      <c r="E8" t="str">
        <f t="shared" si="0"/>
        <v>sean.sanders@pushpin.com</v>
      </c>
      <c r="F8" s="7">
        <v>42691</v>
      </c>
      <c r="G8" s="4">
        <f t="shared" ca="1" si="1"/>
        <v>9.905555555555555</v>
      </c>
      <c r="H8" s="1" t="s">
        <v>17</v>
      </c>
      <c r="I8" s="5" t="s">
        <v>113</v>
      </c>
      <c r="J8" s="6" t="str">
        <f t="shared" si="2"/>
        <v>03</v>
      </c>
      <c r="K8" s="6" t="str">
        <f t="shared" si="3"/>
        <v>2765</v>
      </c>
      <c r="L8" s="7">
        <v>42566</v>
      </c>
      <c r="M8" s="7">
        <f t="shared" si="4"/>
        <v>42931</v>
      </c>
      <c r="N8" s="8">
        <v>38600</v>
      </c>
      <c r="O8" s="16">
        <f t="shared" si="5"/>
        <v>3474</v>
      </c>
    </row>
    <row r="9" spans="1:16" hidden="1" x14ac:dyDescent="0.25">
      <c r="A9" s="3" t="s">
        <v>90</v>
      </c>
      <c r="B9" t="s">
        <v>45</v>
      </c>
      <c r="C9" s="2" t="s">
        <v>44</v>
      </c>
      <c r="D9" s="19" t="s">
        <v>166</v>
      </c>
      <c r="E9" t="str">
        <f t="shared" si="0"/>
        <v>yvette.biti@pushpin.com</v>
      </c>
      <c r="F9" s="7">
        <v>42384</v>
      </c>
      <c r="G9" s="4">
        <f t="shared" ca="1" si="1"/>
        <v>10.744444444444444</v>
      </c>
      <c r="H9" s="1" t="s">
        <v>55</v>
      </c>
      <c r="I9" s="5" t="s">
        <v>100</v>
      </c>
      <c r="J9" s="6" t="str">
        <f t="shared" si="2"/>
        <v>02</v>
      </c>
      <c r="K9" s="6" t="str">
        <f t="shared" si="3"/>
        <v>2589</v>
      </c>
      <c r="L9" s="7">
        <v>42839</v>
      </c>
      <c r="M9" s="7">
        <f t="shared" si="4"/>
        <v>43204</v>
      </c>
      <c r="N9" s="8">
        <v>51400</v>
      </c>
      <c r="O9" s="16">
        <f t="shared" si="5"/>
        <v>4626</v>
      </c>
    </row>
    <row r="10" spans="1:16" hidden="1" x14ac:dyDescent="0.25">
      <c r="A10" s="3" t="s">
        <v>89</v>
      </c>
      <c r="B10" t="s">
        <v>152</v>
      </c>
      <c r="C10" s="2" t="s">
        <v>25</v>
      </c>
      <c r="D10" s="19" t="s">
        <v>165</v>
      </c>
      <c r="E10" t="str">
        <f t="shared" si="0"/>
        <v>mark.ellis@pushpin.com</v>
      </c>
      <c r="F10" s="7">
        <v>42371</v>
      </c>
      <c r="G10" s="4">
        <f t="shared" ca="1" si="1"/>
        <v>10.780555555555555</v>
      </c>
      <c r="H10" s="1" t="s">
        <v>59</v>
      </c>
      <c r="I10" s="5" t="s">
        <v>111</v>
      </c>
      <c r="J10" s="6" t="str">
        <f t="shared" si="2"/>
        <v>03</v>
      </c>
      <c r="K10" s="6" t="str">
        <f t="shared" si="3"/>
        <v>2482</v>
      </c>
      <c r="L10" s="7">
        <v>42619</v>
      </c>
      <c r="M10" s="7">
        <f t="shared" si="4"/>
        <v>42984</v>
      </c>
      <c r="N10" s="8">
        <v>58500</v>
      </c>
      <c r="O10" s="16">
        <f t="shared" si="5"/>
        <v>5265</v>
      </c>
    </row>
    <row r="11" spans="1:16" hidden="1" x14ac:dyDescent="0.25">
      <c r="A11" s="3" t="s">
        <v>88</v>
      </c>
      <c r="B11" t="s">
        <v>54</v>
      </c>
      <c r="C11" s="2" t="s">
        <v>52</v>
      </c>
      <c r="D11" s="19" t="s">
        <v>166</v>
      </c>
      <c r="E11" t="str">
        <f t="shared" si="0"/>
        <v>radhya.senome@pushpin.com</v>
      </c>
      <c r="F11" s="7">
        <v>42324</v>
      </c>
      <c r="G11" s="4">
        <f t="shared" ca="1" si="1"/>
        <v>10.908333333333333</v>
      </c>
      <c r="H11" s="1" t="s">
        <v>55</v>
      </c>
      <c r="I11" s="5" t="s">
        <v>128</v>
      </c>
      <c r="J11" s="6" t="str">
        <f t="shared" si="2"/>
        <v>02</v>
      </c>
      <c r="K11" s="6" t="str">
        <f t="shared" si="3"/>
        <v>2260</v>
      </c>
      <c r="L11" s="7">
        <v>42563</v>
      </c>
      <c r="M11" s="7">
        <f t="shared" si="4"/>
        <v>42928</v>
      </c>
      <c r="N11" s="8">
        <v>35600</v>
      </c>
      <c r="O11" s="16">
        <f t="shared" si="5"/>
        <v>3204</v>
      </c>
    </row>
    <row r="12" spans="1:16" hidden="1" x14ac:dyDescent="0.25">
      <c r="A12" s="3" t="s">
        <v>87</v>
      </c>
      <c r="B12" t="s">
        <v>53</v>
      </c>
      <c r="C12" s="2" t="s">
        <v>115</v>
      </c>
      <c r="D12" s="19" t="s">
        <v>165</v>
      </c>
      <c r="E12" t="str">
        <f t="shared" si="0"/>
        <v>peter.staples@pushpin.com</v>
      </c>
      <c r="F12" s="7">
        <v>42321</v>
      </c>
      <c r="G12" s="4">
        <f t="shared" ca="1" si="1"/>
        <v>10.916666666666666</v>
      </c>
      <c r="H12" s="1" t="s">
        <v>55</v>
      </c>
      <c r="I12" s="5" t="s">
        <v>130</v>
      </c>
      <c r="J12" s="6" t="str">
        <f t="shared" si="2"/>
        <v>02</v>
      </c>
      <c r="K12" s="6" t="str">
        <f t="shared" si="3"/>
        <v>2654</v>
      </c>
      <c r="L12" s="7">
        <v>42551</v>
      </c>
      <c r="M12" s="7">
        <f t="shared" si="4"/>
        <v>42916</v>
      </c>
      <c r="N12" s="8">
        <v>49600</v>
      </c>
      <c r="O12" s="16">
        <f t="shared" si="5"/>
        <v>4464</v>
      </c>
    </row>
    <row r="13" spans="1:16" hidden="1" x14ac:dyDescent="0.25">
      <c r="A13" s="3" t="s">
        <v>86</v>
      </c>
      <c r="B13" t="s">
        <v>156</v>
      </c>
      <c r="C13" s="2" t="s">
        <v>157</v>
      </c>
      <c r="D13" s="19" t="s">
        <v>165</v>
      </c>
      <c r="E13" t="str">
        <f t="shared" si="0"/>
        <v>carlos.martinez@pushpin.com</v>
      </c>
      <c r="F13" s="7">
        <v>42229</v>
      </c>
      <c r="G13" s="4">
        <f t="shared" ca="1" si="1"/>
        <v>11.166666666666666</v>
      </c>
      <c r="H13" s="1" t="s">
        <v>17</v>
      </c>
      <c r="I13" s="5" t="s">
        <v>99</v>
      </c>
      <c r="J13" s="6" t="str">
        <f t="shared" si="2"/>
        <v>03</v>
      </c>
      <c r="K13" s="6" t="str">
        <f t="shared" si="3"/>
        <v>2764</v>
      </c>
      <c r="L13" s="7">
        <v>42845</v>
      </c>
      <c r="M13" s="7">
        <f t="shared" si="4"/>
        <v>43210</v>
      </c>
      <c r="N13" s="8">
        <v>47900</v>
      </c>
      <c r="O13" s="16">
        <f t="shared" si="5"/>
        <v>4311</v>
      </c>
    </row>
    <row r="14" spans="1:16" hidden="1" x14ac:dyDescent="0.25">
      <c r="A14" s="3" t="s">
        <v>85</v>
      </c>
      <c r="B14" t="s">
        <v>151</v>
      </c>
      <c r="C14" s="2" t="s">
        <v>26</v>
      </c>
      <c r="D14" s="19" t="s">
        <v>166</v>
      </c>
      <c r="E14" t="str">
        <f t="shared" si="0"/>
        <v>alexandra.donnell@pushpin.com</v>
      </c>
      <c r="F14" s="7">
        <v>42228</v>
      </c>
      <c r="G14" s="4">
        <f t="shared" ca="1" si="1"/>
        <v>11.169444444444444</v>
      </c>
      <c r="H14" s="1" t="s">
        <v>15</v>
      </c>
      <c r="I14" s="5" t="s">
        <v>110</v>
      </c>
      <c r="J14" s="6" t="str">
        <f t="shared" si="2"/>
        <v>03</v>
      </c>
      <c r="K14" s="6" t="str">
        <f t="shared" si="3"/>
        <v>2082</v>
      </c>
      <c r="L14" s="7">
        <v>42629</v>
      </c>
      <c r="M14" s="7">
        <f t="shared" si="4"/>
        <v>42994</v>
      </c>
      <c r="N14" s="8">
        <v>54900</v>
      </c>
      <c r="O14" s="16">
        <f t="shared" si="5"/>
        <v>4941</v>
      </c>
    </row>
    <row r="15" spans="1:16" hidden="1" x14ac:dyDescent="0.25">
      <c r="A15" s="3" t="s">
        <v>84</v>
      </c>
      <c r="B15" t="s">
        <v>37</v>
      </c>
      <c r="C15" s="2" t="s">
        <v>36</v>
      </c>
      <c r="D15" s="19" t="s">
        <v>165</v>
      </c>
      <c r="E15" t="str">
        <f t="shared" si="0"/>
        <v>leighton.forrest@pushpin.com</v>
      </c>
      <c r="F15" s="7">
        <v>42120</v>
      </c>
      <c r="G15" s="4">
        <f t="shared" ca="1" si="1"/>
        <v>11.463888888888889</v>
      </c>
      <c r="H15" s="1" t="s">
        <v>55</v>
      </c>
      <c r="I15" s="5" t="s">
        <v>125</v>
      </c>
      <c r="J15" s="6" t="str">
        <f t="shared" si="2"/>
        <v>02</v>
      </c>
      <c r="K15" s="6" t="str">
        <f t="shared" si="3"/>
        <v>2284</v>
      </c>
      <c r="L15" s="7">
        <v>42586</v>
      </c>
      <c r="M15" s="7">
        <f t="shared" si="4"/>
        <v>42951</v>
      </c>
      <c r="N15" s="8">
        <v>56200</v>
      </c>
      <c r="O15" s="16">
        <f t="shared" si="5"/>
        <v>5058</v>
      </c>
    </row>
    <row r="16" spans="1:16" hidden="1" x14ac:dyDescent="0.25">
      <c r="A16" s="3" t="s">
        <v>83</v>
      </c>
      <c r="B16" t="s">
        <v>41</v>
      </c>
      <c r="C16" s="2" t="s">
        <v>40</v>
      </c>
      <c r="D16" s="19" t="s">
        <v>166</v>
      </c>
      <c r="E16" t="str">
        <f t="shared" si="0"/>
        <v>aanya.zhang@pushpin.com</v>
      </c>
      <c r="F16" s="7">
        <v>42002</v>
      </c>
      <c r="G16" s="4">
        <f t="shared" ca="1" si="1"/>
        <v>11.78888888888889</v>
      </c>
      <c r="H16" s="1" t="s">
        <v>55</v>
      </c>
      <c r="I16" s="5" t="s">
        <v>131</v>
      </c>
      <c r="J16" s="6" t="str">
        <f t="shared" si="2"/>
        <v>02</v>
      </c>
      <c r="K16" s="6" t="str">
        <f t="shared" si="3"/>
        <v>2793</v>
      </c>
      <c r="L16" s="7">
        <v>42540</v>
      </c>
      <c r="M16" s="7">
        <f t="shared" si="4"/>
        <v>42905</v>
      </c>
      <c r="N16" s="8">
        <v>46500</v>
      </c>
      <c r="O16" s="16">
        <f t="shared" si="5"/>
        <v>4185</v>
      </c>
    </row>
    <row r="17" spans="1:15" hidden="1" x14ac:dyDescent="0.25">
      <c r="A17" s="3" t="s">
        <v>82</v>
      </c>
      <c r="B17" t="s">
        <v>145</v>
      </c>
      <c r="C17" s="2" t="s">
        <v>146</v>
      </c>
      <c r="D17" s="19" t="s">
        <v>166</v>
      </c>
      <c r="E17" t="str">
        <f t="shared" si="0"/>
        <v>anna.clark@pushpin.com</v>
      </c>
      <c r="F17" s="7">
        <v>41989</v>
      </c>
      <c r="G17" s="4">
        <f t="shared" ca="1" si="1"/>
        <v>11.824999999999999</v>
      </c>
      <c r="H17" s="1" t="s">
        <v>15</v>
      </c>
      <c r="I17" s="5" t="s">
        <v>106</v>
      </c>
      <c r="J17" s="6" t="str">
        <f t="shared" si="2"/>
        <v>03</v>
      </c>
      <c r="K17" s="6" t="str">
        <f t="shared" si="3"/>
        <v>2601</v>
      </c>
      <c r="L17" s="7">
        <v>42731</v>
      </c>
      <c r="M17" s="7">
        <f t="shared" si="4"/>
        <v>43096</v>
      </c>
      <c r="N17" s="8">
        <v>58500</v>
      </c>
      <c r="O17" s="16">
        <f t="shared" si="5"/>
        <v>5265</v>
      </c>
    </row>
    <row r="18" spans="1:15" hidden="1" x14ac:dyDescent="0.25">
      <c r="A18" s="3" t="s">
        <v>81</v>
      </c>
      <c r="B18" t="s">
        <v>43</v>
      </c>
      <c r="C18" s="2" t="s">
        <v>42</v>
      </c>
      <c r="D18" s="19" t="s">
        <v>165</v>
      </c>
      <c r="E18" t="str">
        <f t="shared" si="0"/>
        <v>connor.betts@pushpin.com</v>
      </c>
      <c r="F18" s="7">
        <v>41956</v>
      </c>
      <c r="G18" s="4">
        <f t="shared" ca="1" si="1"/>
        <v>11.916666666666666</v>
      </c>
      <c r="H18" s="1" t="s">
        <v>55</v>
      </c>
      <c r="I18" s="5" t="s">
        <v>98</v>
      </c>
      <c r="J18" s="6" t="str">
        <f t="shared" si="2"/>
        <v>02</v>
      </c>
      <c r="K18" s="6" t="str">
        <f t="shared" si="3"/>
        <v>2347</v>
      </c>
      <c r="L18" s="7">
        <v>42848</v>
      </c>
      <c r="M18" s="7">
        <f t="shared" si="4"/>
        <v>43213</v>
      </c>
      <c r="N18" s="8">
        <v>52600</v>
      </c>
      <c r="O18" s="16">
        <f t="shared" si="5"/>
        <v>4734</v>
      </c>
    </row>
    <row r="19" spans="1:15" hidden="1" x14ac:dyDescent="0.25">
      <c r="A19" s="3" t="s">
        <v>80</v>
      </c>
      <c r="B19" t="s">
        <v>47</v>
      </c>
      <c r="C19" s="2" t="s">
        <v>46</v>
      </c>
      <c r="D19" s="19" t="s">
        <v>165</v>
      </c>
      <c r="E19" t="str">
        <f t="shared" si="0"/>
        <v>charlie.bui@pushpin.com</v>
      </c>
      <c r="F19" s="7">
        <v>41903</v>
      </c>
      <c r="G19" s="4">
        <f t="shared" ca="1" si="1"/>
        <v>12.061111111111112</v>
      </c>
      <c r="H19" s="1" t="s">
        <v>55</v>
      </c>
      <c r="I19" s="5" t="s">
        <v>117</v>
      </c>
      <c r="J19" s="6" t="str">
        <f t="shared" si="2"/>
        <v>02</v>
      </c>
      <c r="K19" s="6" t="str">
        <f t="shared" si="3"/>
        <v>2694</v>
      </c>
      <c r="L19" s="7">
        <v>42828</v>
      </c>
      <c r="M19" s="7">
        <f t="shared" si="4"/>
        <v>43193</v>
      </c>
      <c r="N19" s="8">
        <v>54700</v>
      </c>
      <c r="O19" s="16">
        <f t="shared" si="5"/>
        <v>4923</v>
      </c>
    </row>
    <row r="20" spans="1:15" hidden="1" x14ac:dyDescent="0.25">
      <c r="A20" s="3" t="s">
        <v>79</v>
      </c>
      <c r="B20" t="s">
        <v>139</v>
      </c>
      <c r="C20" s="2" t="s">
        <v>27</v>
      </c>
      <c r="D20" s="19" t="s">
        <v>165</v>
      </c>
      <c r="E20" t="str">
        <f t="shared" si="0"/>
        <v>jim.boller@pushpin.com</v>
      </c>
      <c r="F20" s="7">
        <v>41893</v>
      </c>
      <c r="G20" s="4">
        <f t="shared" ca="1" si="1"/>
        <v>12.088888888888889</v>
      </c>
      <c r="H20" s="1" t="s">
        <v>15</v>
      </c>
      <c r="I20" s="5" t="s">
        <v>116</v>
      </c>
      <c r="J20" s="6" t="str">
        <f t="shared" si="2"/>
        <v>03</v>
      </c>
      <c r="K20" s="6" t="str">
        <f t="shared" si="3"/>
        <v>2318</v>
      </c>
      <c r="L20" s="7">
        <v>42835</v>
      </c>
      <c r="M20" s="7">
        <f t="shared" si="4"/>
        <v>43200</v>
      </c>
      <c r="N20" s="8">
        <v>62800</v>
      </c>
      <c r="O20" s="16">
        <f t="shared" si="5"/>
        <v>5652</v>
      </c>
    </row>
    <row r="21" spans="1:15" hidden="1" x14ac:dyDescent="0.25">
      <c r="A21" s="3" t="s">
        <v>78</v>
      </c>
      <c r="B21" t="s">
        <v>141</v>
      </c>
      <c r="C21" s="2" t="s">
        <v>27</v>
      </c>
      <c r="D21" s="19" t="s">
        <v>165</v>
      </c>
      <c r="E21" t="str">
        <f t="shared" si="0"/>
        <v>jim.chaffee@pushpin.com</v>
      </c>
      <c r="F21" s="7">
        <v>41787</v>
      </c>
      <c r="G21" s="4">
        <f t="shared" ca="1" si="1"/>
        <v>12.375</v>
      </c>
      <c r="H21" s="1" t="s">
        <v>13</v>
      </c>
      <c r="I21" s="5" t="s">
        <v>102</v>
      </c>
      <c r="J21" s="6" t="str">
        <f t="shared" si="2"/>
        <v>03</v>
      </c>
      <c r="K21" s="6" t="str">
        <f t="shared" si="3"/>
        <v>2432</v>
      </c>
      <c r="L21" s="7">
        <v>42804</v>
      </c>
      <c r="M21" s="7">
        <f t="shared" si="4"/>
        <v>43169</v>
      </c>
      <c r="N21" s="8">
        <v>42100</v>
      </c>
      <c r="O21" s="16">
        <f t="shared" si="5"/>
        <v>3789</v>
      </c>
    </row>
    <row r="22" spans="1:15" hidden="1" x14ac:dyDescent="0.25">
      <c r="A22" s="3" t="s">
        <v>77</v>
      </c>
      <c r="B22" t="s">
        <v>147</v>
      </c>
      <c r="C22" s="2" t="s">
        <v>20</v>
      </c>
      <c r="D22" s="19" t="s">
        <v>166</v>
      </c>
      <c r="E22" t="str">
        <f t="shared" si="0"/>
        <v>sabrina.cole@pushpin.com</v>
      </c>
      <c r="F22" s="7">
        <v>41401</v>
      </c>
      <c r="G22" s="4">
        <f t="shared" ca="1" si="1"/>
        <v>13.433333333333334</v>
      </c>
      <c r="H22" s="1" t="s">
        <v>24</v>
      </c>
      <c r="I22" s="5" t="s">
        <v>108</v>
      </c>
      <c r="J22" s="6" t="str">
        <f t="shared" si="2"/>
        <v>02</v>
      </c>
      <c r="K22" s="6" t="str">
        <f t="shared" si="3"/>
        <v>2537</v>
      </c>
      <c r="L22" s="7">
        <v>42710</v>
      </c>
      <c r="M22" s="7">
        <f t="shared" si="4"/>
        <v>43075</v>
      </c>
      <c r="N22" s="8">
        <v>45100</v>
      </c>
      <c r="O22" s="16">
        <f t="shared" si="5"/>
        <v>4059</v>
      </c>
    </row>
    <row r="23" spans="1:15" hidden="1" x14ac:dyDescent="0.25">
      <c r="A23" s="3" t="s">
        <v>76</v>
      </c>
      <c r="B23" t="s">
        <v>149</v>
      </c>
      <c r="C23" s="2" t="s">
        <v>19</v>
      </c>
      <c r="D23" s="19" t="s">
        <v>165</v>
      </c>
      <c r="E23" t="str">
        <f t="shared" si="0"/>
        <v>bob.decker@pushpin.com</v>
      </c>
      <c r="F23" s="7">
        <v>41210</v>
      </c>
      <c r="G23" s="4">
        <f t="shared" ca="1" si="1"/>
        <v>13.958333333333334</v>
      </c>
      <c r="H23" s="1" t="s">
        <v>59</v>
      </c>
      <c r="I23" s="5" t="s">
        <v>120</v>
      </c>
      <c r="J23" s="6" t="str">
        <f t="shared" si="2"/>
        <v>01</v>
      </c>
      <c r="K23" s="6" t="str">
        <f t="shared" si="3"/>
        <v>2086</v>
      </c>
      <c r="L23" s="7">
        <v>42656</v>
      </c>
      <c r="M23" s="7">
        <f t="shared" si="4"/>
        <v>43021</v>
      </c>
      <c r="N23" s="8">
        <v>49600</v>
      </c>
      <c r="O23" s="16">
        <f t="shared" si="5"/>
        <v>4464</v>
      </c>
    </row>
    <row r="24" spans="1:15" hidden="1" x14ac:dyDescent="0.25">
      <c r="A24" s="3" t="s">
        <v>75</v>
      </c>
      <c r="B24" t="s">
        <v>150</v>
      </c>
      <c r="C24" s="2" t="s">
        <v>28</v>
      </c>
      <c r="D24" s="19" t="s">
        <v>166</v>
      </c>
      <c r="E24" t="str">
        <f t="shared" si="0"/>
        <v>tina.desiato@pushpin.com</v>
      </c>
      <c r="F24" s="7">
        <v>41175</v>
      </c>
      <c r="G24" s="4">
        <f t="shared" ca="1" si="1"/>
        <v>14.055555555555555</v>
      </c>
      <c r="H24" t="s">
        <v>59</v>
      </c>
      <c r="I24" s="5" t="s">
        <v>121</v>
      </c>
      <c r="J24" s="6" t="str">
        <f t="shared" si="2"/>
        <v>01</v>
      </c>
      <c r="K24" s="6" t="str">
        <f t="shared" si="3"/>
        <v>2358</v>
      </c>
      <c r="L24" s="7">
        <v>42652</v>
      </c>
      <c r="M24" s="7">
        <f t="shared" si="4"/>
        <v>43017</v>
      </c>
      <c r="N24" s="8">
        <v>51700</v>
      </c>
      <c r="O24" s="16">
        <f t="shared" si="5"/>
        <v>4653</v>
      </c>
    </row>
    <row r="25" spans="1:15" hidden="1" x14ac:dyDescent="0.25">
      <c r="A25" s="3" t="s">
        <v>74</v>
      </c>
      <c r="B25" t="s">
        <v>142</v>
      </c>
      <c r="C25" s="2" t="s">
        <v>61</v>
      </c>
      <c r="D25" s="19" t="s">
        <v>166</v>
      </c>
      <c r="E25" t="str">
        <f t="shared" si="0"/>
        <v>uma.chaudri@pushpin.com</v>
      </c>
      <c r="F25" s="7">
        <v>40994</v>
      </c>
      <c r="G25" s="4">
        <f t="shared" ca="1" si="1"/>
        <v>14.547222222222222</v>
      </c>
      <c r="H25" s="1" t="s">
        <v>17</v>
      </c>
      <c r="I25" s="5" t="s">
        <v>119</v>
      </c>
      <c r="J25" s="6" t="str">
        <f t="shared" si="2"/>
        <v>03</v>
      </c>
      <c r="K25" s="6" t="str">
        <f t="shared" si="3"/>
        <v>2134</v>
      </c>
      <c r="L25" s="7">
        <v>42776</v>
      </c>
      <c r="M25" s="7">
        <f t="shared" si="4"/>
        <v>43141</v>
      </c>
      <c r="N25" s="8">
        <v>63200</v>
      </c>
      <c r="O25" s="16">
        <f t="shared" si="5"/>
        <v>5688</v>
      </c>
    </row>
    <row r="26" spans="1:15" x14ac:dyDescent="0.25">
      <c r="A26" s="3" t="s">
        <v>73</v>
      </c>
      <c r="B26" t="s">
        <v>39</v>
      </c>
      <c r="C26" s="2" t="s">
        <v>38</v>
      </c>
      <c r="D26" s="19" t="s">
        <v>166</v>
      </c>
      <c r="E26" t="str">
        <f t="shared" si="0"/>
        <v>natasha.song@pushpin.com</v>
      </c>
      <c r="F26" s="7">
        <v>40713</v>
      </c>
      <c r="G26" s="4">
        <f t="shared" ca="1" si="1"/>
        <v>15.316666666666666</v>
      </c>
      <c r="H26" s="1" t="s">
        <v>55</v>
      </c>
      <c r="I26" s="5" t="s">
        <v>129</v>
      </c>
      <c r="J26" s="6" t="str">
        <f t="shared" si="2"/>
        <v>02</v>
      </c>
      <c r="K26" s="6" t="str">
        <f t="shared" si="3"/>
        <v>2578</v>
      </c>
      <c r="L26" s="7">
        <v>42552</v>
      </c>
      <c r="M26" s="7">
        <f t="shared" si="4"/>
        <v>42917</v>
      </c>
      <c r="N26" s="8">
        <v>56000</v>
      </c>
      <c r="O26" s="16">
        <f t="shared" si="5"/>
        <v>5040</v>
      </c>
    </row>
    <row r="27" spans="1:15" x14ac:dyDescent="0.25">
      <c r="A27" s="3" t="s">
        <v>72</v>
      </c>
      <c r="B27" t="s">
        <v>31</v>
      </c>
      <c r="C27" s="2" t="s">
        <v>30</v>
      </c>
      <c r="D27" s="19" t="s">
        <v>166</v>
      </c>
      <c r="E27" t="str">
        <f t="shared" si="0"/>
        <v>samantha.chairs@pushpin.com</v>
      </c>
      <c r="F27" s="7">
        <v>40595</v>
      </c>
      <c r="G27" s="4">
        <f t="shared" ca="1" si="1"/>
        <v>15.644444444444444</v>
      </c>
      <c r="H27" s="1" t="s">
        <v>55</v>
      </c>
      <c r="I27" s="5" t="s">
        <v>103</v>
      </c>
      <c r="J27" s="6" t="str">
        <f t="shared" si="2"/>
        <v>02</v>
      </c>
      <c r="K27" s="6" t="str">
        <f t="shared" si="3"/>
        <v>2962</v>
      </c>
      <c r="L27" s="7">
        <v>42801</v>
      </c>
      <c r="M27" s="7">
        <f t="shared" si="4"/>
        <v>43166</v>
      </c>
      <c r="N27" s="8">
        <v>59300</v>
      </c>
      <c r="O27" s="16">
        <f t="shared" si="5"/>
        <v>5337</v>
      </c>
    </row>
    <row r="28" spans="1:15" x14ac:dyDescent="0.25">
      <c r="A28" s="3" t="s">
        <v>71</v>
      </c>
      <c r="B28" t="s">
        <v>143</v>
      </c>
      <c r="C28" s="2" t="s">
        <v>16</v>
      </c>
      <c r="D28" s="19" t="s">
        <v>166</v>
      </c>
      <c r="E28" t="str">
        <f t="shared" si="0"/>
        <v>elizabeth.chu@pushpin.com</v>
      </c>
      <c r="F28" s="7">
        <v>40220</v>
      </c>
      <c r="G28" s="4">
        <f t="shared" ca="1" si="1"/>
        <v>16.672222222222221</v>
      </c>
      <c r="H28" s="1" t="s">
        <v>59</v>
      </c>
      <c r="I28" s="5" t="s">
        <v>104</v>
      </c>
      <c r="J28" s="6" t="str">
        <f t="shared" si="2"/>
        <v>01</v>
      </c>
      <c r="K28" s="6" t="str">
        <f t="shared" si="3"/>
        <v>2425</v>
      </c>
      <c r="L28" s="7">
        <v>42761</v>
      </c>
      <c r="M28" s="7">
        <f t="shared" si="4"/>
        <v>43126</v>
      </c>
      <c r="N28" s="8">
        <v>48400</v>
      </c>
      <c r="O28" s="16">
        <f t="shared" si="5"/>
        <v>4356</v>
      </c>
    </row>
    <row r="29" spans="1:15" x14ac:dyDescent="0.25">
      <c r="A29" s="3" t="s">
        <v>93</v>
      </c>
      <c r="B29" t="s">
        <v>159</v>
      </c>
      <c r="C29" s="2" t="s">
        <v>57</v>
      </c>
      <c r="D29" s="19" t="s">
        <v>166</v>
      </c>
      <c r="E29" t="str">
        <f t="shared" si="0"/>
        <v>mei.wang@pushpin.com</v>
      </c>
      <c r="F29" s="7">
        <v>40188</v>
      </c>
      <c r="G29" s="4">
        <f t="shared" ca="1" si="1"/>
        <v>16.758333333333333</v>
      </c>
      <c r="H29" s="1" t="s">
        <v>22</v>
      </c>
      <c r="I29" s="5" t="s">
        <v>114</v>
      </c>
      <c r="J29" s="6" t="str">
        <f t="shared" si="2"/>
        <v>01</v>
      </c>
      <c r="K29" s="6" t="str">
        <f t="shared" si="3"/>
        <v>2783</v>
      </c>
      <c r="L29" s="7">
        <v>42544</v>
      </c>
      <c r="M29" s="7">
        <f t="shared" si="4"/>
        <v>42909</v>
      </c>
      <c r="N29" s="8">
        <v>96400</v>
      </c>
      <c r="O29" s="16">
        <f t="shared" si="5"/>
        <v>8676</v>
      </c>
    </row>
    <row r="30" spans="1:15" x14ac:dyDescent="0.25">
      <c r="A30" s="3" t="s">
        <v>70</v>
      </c>
      <c r="B30" t="s">
        <v>33</v>
      </c>
      <c r="C30" s="2" t="s">
        <v>32</v>
      </c>
      <c r="D30" s="19" t="s">
        <v>165</v>
      </c>
      <c r="E30" t="str">
        <f t="shared" si="0"/>
        <v>mihael.khan@pushpin.com</v>
      </c>
      <c r="F30" s="7">
        <v>40160</v>
      </c>
      <c r="G30" s="4">
        <f t="shared" ca="1" si="1"/>
        <v>16.833333333333332</v>
      </c>
      <c r="H30" s="1" t="s">
        <v>55</v>
      </c>
      <c r="I30" s="5" t="s">
        <v>127</v>
      </c>
      <c r="J30" s="6" t="str">
        <f t="shared" si="2"/>
        <v>02</v>
      </c>
      <c r="K30" s="6" t="str">
        <f t="shared" si="3"/>
        <v>2294</v>
      </c>
      <c r="L30" s="7">
        <v>42566</v>
      </c>
      <c r="M30" s="7">
        <f t="shared" si="4"/>
        <v>42931</v>
      </c>
      <c r="N30" s="8">
        <v>55500</v>
      </c>
      <c r="O30" s="16">
        <f t="shared" si="5"/>
        <v>4995</v>
      </c>
    </row>
    <row r="31" spans="1:15" x14ac:dyDescent="0.25">
      <c r="A31" s="3" t="s">
        <v>69</v>
      </c>
      <c r="B31" t="s">
        <v>148</v>
      </c>
      <c r="C31" s="2" t="s">
        <v>18</v>
      </c>
      <c r="D31" s="19" t="s">
        <v>166</v>
      </c>
      <c r="E31" t="str">
        <f t="shared" si="0"/>
        <v>janet.comuntzis@pushpin.com</v>
      </c>
      <c r="F31" s="7">
        <v>39686</v>
      </c>
      <c r="G31" s="4">
        <f t="shared" ca="1" si="1"/>
        <v>18.130555555555556</v>
      </c>
      <c r="H31" s="1" t="s">
        <v>24</v>
      </c>
      <c r="I31" s="5" t="s">
        <v>109</v>
      </c>
      <c r="J31" s="6" t="str">
        <f t="shared" si="2"/>
        <v>02</v>
      </c>
      <c r="K31" s="6" t="str">
        <f t="shared" si="3"/>
        <v>2286</v>
      </c>
      <c r="L31" s="7">
        <v>42658</v>
      </c>
      <c r="M31" s="7">
        <f t="shared" si="4"/>
        <v>43023</v>
      </c>
      <c r="N31" s="8">
        <v>55800</v>
      </c>
      <c r="O31" s="16">
        <f t="shared" si="5"/>
        <v>5022</v>
      </c>
    </row>
    <row r="32" spans="1:15" x14ac:dyDescent="0.25">
      <c r="A32" s="3" t="s">
        <v>68</v>
      </c>
      <c r="B32" t="s">
        <v>49</v>
      </c>
      <c r="C32" s="2" t="s">
        <v>48</v>
      </c>
      <c r="D32" s="19" t="s">
        <v>165</v>
      </c>
      <c r="E32" t="str">
        <f t="shared" si="0"/>
        <v>stevie.bacata@pushpin.com</v>
      </c>
      <c r="F32" s="7">
        <v>39551</v>
      </c>
      <c r="G32" s="4">
        <f t="shared" ca="1" si="1"/>
        <v>18.5</v>
      </c>
      <c r="H32" s="1" t="s">
        <v>55</v>
      </c>
      <c r="I32" s="5" t="s">
        <v>96</v>
      </c>
      <c r="J32" s="6" t="str">
        <f t="shared" si="2"/>
        <v>02</v>
      </c>
      <c r="K32" s="6" t="str">
        <f t="shared" si="3"/>
        <v>2635</v>
      </c>
      <c r="L32" s="7">
        <v>42507</v>
      </c>
      <c r="M32" s="7">
        <f t="shared" si="4"/>
        <v>42872</v>
      </c>
      <c r="N32" s="8">
        <v>58200</v>
      </c>
      <c r="O32" s="16">
        <f t="shared" si="5"/>
        <v>5238</v>
      </c>
    </row>
    <row r="33" spans="1:15" x14ac:dyDescent="0.25">
      <c r="A33" s="3" t="s">
        <v>67</v>
      </c>
      <c r="B33" t="s">
        <v>51</v>
      </c>
      <c r="C33" s="2" t="s">
        <v>50</v>
      </c>
      <c r="D33" s="19" t="s">
        <v>165</v>
      </c>
      <c r="E33" t="str">
        <f t="shared" si="0"/>
        <v>nicholas.fernandes@pushpin.com</v>
      </c>
      <c r="F33" s="7">
        <v>39023</v>
      </c>
      <c r="G33" s="4">
        <f t="shared" ca="1" si="1"/>
        <v>19.947222222222223</v>
      </c>
      <c r="H33" s="1" t="s">
        <v>15</v>
      </c>
      <c r="I33" s="5" t="s">
        <v>122</v>
      </c>
      <c r="J33" s="6" t="str">
        <f t="shared" si="2"/>
        <v>02</v>
      </c>
      <c r="K33" s="6" t="str">
        <f t="shared" si="3"/>
        <v>2372</v>
      </c>
      <c r="L33" s="7">
        <v>42614</v>
      </c>
      <c r="M33" s="7">
        <f t="shared" si="4"/>
        <v>42979</v>
      </c>
      <c r="N33" s="8">
        <v>51600</v>
      </c>
      <c r="O33" s="16">
        <f t="shared" si="5"/>
        <v>4644</v>
      </c>
    </row>
    <row r="34" spans="1:15" x14ac:dyDescent="0.25">
      <c r="A34" s="3" t="s">
        <v>66</v>
      </c>
      <c r="B34" t="s">
        <v>29</v>
      </c>
      <c r="C34" s="2" t="s">
        <v>28</v>
      </c>
      <c r="D34" s="19" t="s">
        <v>166</v>
      </c>
      <c r="E34" t="str">
        <f t="shared" si="0"/>
        <v>tina.carlton@pushpin.com</v>
      </c>
      <c r="F34" s="7">
        <v>38798</v>
      </c>
      <c r="G34" s="4">
        <f t="shared" ca="1" si="1"/>
        <v>20.558333333333334</v>
      </c>
      <c r="H34" s="1" t="s">
        <v>55</v>
      </c>
      <c r="I34" s="5" t="s">
        <v>101</v>
      </c>
      <c r="J34" s="6" t="str">
        <f t="shared" si="2"/>
        <v>02</v>
      </c>
      <c r="K34" s="6" t="str">
        <f t="shared" si="3"/>
        <v>2699</v>
      </c>
      <c r="L34" s="7">
        <v>42825</v>
      </c>
      <c r="M34" s="7">
        <f t="shared" si="4"/>
        <v>43190</v>
      </c>
      <c r="N34" s="8">
        <v>59200</v>
      </c>
      <c r="O34" s="16">
        <f t="shared" si="5"/>
        <v>5328</v>
      </c>
    </row>
    <row r="35" spans="1:15" x14ac:dyDescent="0.25">
      <c r="A35" s="3" t="s">
        <v>65</v>
      </c>
      <c r="B35" t="s">
        <v>154</v>
      </c>
      <c r="C35" s="2" t="s">
        <v>14</v>
      </c>
      <c r="D35" s="19" t="s">
        <v>166</v>
      </c>
      <c r="E35" t="str">
        <f t="shared" si="0"/>
        <v>susan.filosa@pushpin.com</v>
      </c>
      <c r="F35" s="7">
        <v>38744</v>
      </c>
      <c r="G35" s="4">
        <f t="shared" ca="1" si="1"/>
        <v>20.711111111111112</v>
      </c>
      <c r="H35" s="1" t="s">
        <v>24</v>
      </c>
      <c r="I35" s="5" t="s">
        <v>112</v>
      </c>
      <c r="J35" s="6" t="str">
        <f t="shared" si="2"/>
        <v>02</v>
      </c>
      <c r="K35" s="6" t="str">
        <f t="shared" si="3"/>
        <v>2279</v>
      </c>
      <c r="L35" s="7">
        <v>42596</v>
      </c>
      <c r="M35" s="7">
        <f t="shared" si="4"/>
        <v>42961</v>
      </c>
      <c r="N35" s="8">
        <v>58400</v>
      </c>
      <c r="O35" s="16">
        <f t="shared" si="5"/>
        <v>5256</v>
      </c>
    </row>
    <row r="36" spans="1:15" x14ac:dyDescent="0.25">
      <c r="A36" s="3" t="s">
        <v>64</v>
      </c>
      <c r="B36" t="s">
        <v>153</v>
      </c>
      <c r="C36" s="2" t="s">
        <v>21</v>
      </c>
      <c r="D36" s="19" t="s">
        <v>166</v>
      </c>
      <c r="E36" t="str">
        <f t="shared" si="0"/>
        <v>mary.ferris@pushpin.com</v>
      </c>
      <c r="F36" s="7">
        <v>38548</v>
      </c>
      <c r="G36" s="4">
        <f t="shared" ca="1" si="1"/>
        <v>21.244444444444444</v>
      </c>
      <c r="H36" s="1" t="s">
        <v>55</v>
      </c>
      <c r="I36" s="5" t="s">
        <v>123</v>
      </c>
      <c r="J36" s="6" t="str">
        <f t="shared" si="2"/>
        <v>03</v>
      </c>
      <c r="K36" s="6" t="str">
        <f t="shared" si="3"/>
        <v>2392</v>
      </c>
      <c r="L36" s="7">
        <v>42598</v>
      </c>
      <c r="M36" s="7">
        <f t="shared" si="4"/>
        <v>42963</v>
      </c>
      <c r="N36" s="8">
        <v>62900</v>
      </c>
      <c r="O36" s="16">
        <f t="shared" si="5"/>
        <v>5661</v>
      </c>
    </row>
    <row r="37" spans="1:15" x14ac:dyDescent="0.25">
      <c r="A37" s="3" t="s">
        <v>63</v>
      </c>
      <c r="B37" t="s">
        <v>138</v>
      </c>
      <c r="C37" s="2" t="s">
        <v>12</v>
      </c>
      <c r="D37" s="19" t="s">
        <v>165</v>
      </c>
      <c r="E37" t="str">
        <f t="shared" si="0"/>
        <v>adam.barry@pushpin.com</v>
      </c>
      <c r="F37" s="7">
        <v>38099</v>
      </c>
      <c r="G37" s="4">
        <f t="shared" ca="1" si="1"/>
        <v>22.475000000000001</v>
      </c>
      <c r="H37" s="1" t="s">
        <v>24</v>
      </c>
      <c r="I37" s="5" t="s">
        <v>97</v>
      </c>
      <c r="J37" s="6" t="str">
        <f t="shared" si="2"/>
        <v>02</v>
      </c>
      <c r="K37" s="6" t="str">
        <f t="shared" si="3"/>
        <v>2018</v>
      </c>
      <c r="L37" s="7">
        <v>42860</v>
      </c>
      <c r="M37" s="7">
        <f t="shared" si="4"/>
        <v>43225</v>
      </c>
      <c r="N37" s="8">
        <v>59200</v>
      </c>
      <c r="O37" s="16">
        <f t="shared" si="5"/>
        <v>5328</v>
      </c>
    </row>
    <row r="38" spans="1:15" x14ac:dyDescent="0.25">
      <c r="A38" s="3" t="s">
        <v>11</v>
      </c>
      <c r="B38" t="s">
        <v>155</v>
      </c>
      <c r="C38" s="2" t="s">
        <v>10</v>
      </c>
      <c r="D38" s="19" t="s">
        <v>165</v>
      </c>
      <c r="E38" t="str">
        <f t="shared" si="0"/>
        <v>daniel.flanders@pushpin.com</v>
      </c>
      <c r="F38" s="7">
        <v>37510</v>
      </c>
      <c r="G38" s="4">
        <f t="shared" ca="1" si="1"/>
        <v>24.088888888888889</v>
      </c>
      <c r="H38" s="1" t="s">
        <v>55</v>
      </c>
      <c r="I38" s="5" t="s">
        <v>124</v>
      </c>
      <c r="J38" s="6" t="str">
        <f t="shared" si="2"/>
        <v>02</v>
      </c>
      <c r="K38" s="6" t="str">
        <f t="shared" si="3"/>
        <v>2639</v>
      </c>
      <c r="L38" s="7">
        <v>42590</v>
      </c>
      <c r="M38" s="7">
        <f t="shared" si="4"/>
        <v>42955</v>
      </c>
      <c r="N38" s="8">
        <v>68800</v>
      </c>
      <c r="O38" s="16">
        <f t="shared" si="5"/>
        <v>6192</v>
      </c>
    </row>
    <row r="39" spans="1:15" x14ac:dyDescent="0.25">
      <c r="A39" s="3" t="s">
        <v>9</v>
      </c>
      <c r="B39" t="s">
        <v>144</v>
      </c>
      <c r="C39" s="2" t="s">
        <v>56</v>
      </c>
      <c r="D39" s="19" t="s">
        <v>165</v>
      </c>
      <c r="E39" t="str">
        <f t="shared" si="0"/>
        <v>eric.chung@pushpin.com</v>
      </c>
      <c r="F39" s="7">
        <v>36949</v>
      </c>
      <c r="G39" s="4">
        <f t="shared" ca="1" si="1"/>
        <v>25.627777777777776</v>
      </c>
      <c r="H39" s="1" t="s">
        <v>59</v>
      </c>
      <c r="I39" s="5" t="s">
        <v>105</v>
      </c>
      <c r="J39" s="6" t="str">
        <f t="shared" si="2"/>
        <v>03</v>
      </c>
      <c r="K39" s="6" t="str">
        <f t="shared" si="3"/>
        <v>2796</v>
      </c>
      <c r="L39" s="7">
        <v>42731</v>
      </c>
      <c r="M39" s="7">
        <f t="shared" si="4"/>
        <v>43096</v>
      </c>
      <c r="N39" s="8">
        <v>70300</v>
      </c>
      <c r="O39" s="16">
        <f t="shared" si="5"/>
        <v>6327</v>
      </c>
    </row>
    <row r="40" spans="1:15" x14ac:dyDescent="0.25">
      <c r="A40" s="3" t="s">
        <v>8</v>
      </c>
      <c r="B40" t="s">
        <v>140</v>
      </c>
      <c r="C40" s="2" t="s">
        <v>23</v>
      </c>
      <c r="D40" s="19" t="s">
        <v>165</v>
      </c>
      <c r="E40" t="str">
        <f t="shared" si="0"/>
        <v>joe.carol@pushpin.com</v>
      </c>
      <c r="F40" s="7">
        <v>36923</v>
      </c>
      <c r="G40" s="4">
        <f t="shared" ca="1" si="1"/>
        <v>25.7</v>
      </c>
      <c r="H40" s="1" t="s">
        <v>22</v>
      </c>
      <c r="I40" s="5" t="s">
        <v>118</v>
      </c>
      <c r="J40" s="6" t="str">
        <f t="shared" si="2"/>
        <v>01</v>
      </c>
      <c r="K40" s="6" t="str">
        <f t="shared" si="3"/>
        <v>2321</v>
      </c>
      <c r="L40" s="7">
        <v>42817</v>
      </c>
      <c r="M40" s="7">
        <f t="shared" si="4"/>
        <v>43182</v>
      </c>
      <c r="N40" s="8">
        <v>101400</v>
      </c>
      <c r="O40" s="16">
        <f t="shared" si="5"/>
        <v>9126</v>
      </c>
    </row>
    <row r="41" spans="1:15" x14ac:dyDescent="0.25">
      <c r="A41" s="3">
        <f>SUBTOTAL(103,HR_789[Emp ID])</f>
        <v>15</v>
      </c>
      <c r="C41" s="2"/>
      <c r="D41" s="19"/>
      <c r="G41" s="4">
        <f ca="1">SUBTOTAL(101,HR_789[Years Service])</f>
        <v>19.880555555555553</v>
      </c>
      <c r="H41" s="21"/>
      <c r="I41" s="22"/>
      <c r="J41" s="3"/>
      <c r="K41" s="3"/>
      <c r="L41" s="3"/>
      <c r="M41" s="3"/>
      <c r="N41" s="8"/>
      <c r="O41" s="16">
        <f>SUBTOTAL(109,HR_789[Pension])</f>
        <v>86526</v>
      </c>
    </row>
    <row r="43" spans="1:15" ht="15.75" x14ac:dyDescent="0.25">
      <c r="E43" s="13"/>
    </row>
    <row r="44" spans="1:15" ht="15.75" x14ac:dyDescent="0.25">
      <c r="E44" s="13"/>
    </row>
    <row r="45" spans="1:15" ht="15.75" x14ac:dyDescent="0.25">
      <c r="E45" s="13"/>
    </row>
  </sheetData>
  <conditionalFormatting sqref="M6:M40">
    <cfRule type="cellIs" dxfId="3" priority="2" operator="equal">
      <formula>0</formula>
    </cfRule>
    <cfRule type="expression" dxfId="2" priority="3">
      <formula>M6&lt;TODAY()</formula>
    </cfRule>
  </conditionalFormatting>
  <conditionalFormatting sqref="G26:G4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="70" zoomScaleNormal="70" workbookViewId="0">
      <selection activeCell="B16" sqref="B16"/>
    </sheetView>
  </sheetViews>
  <sheetFormatPr defaultRowHeight="15" x14ac:dyDescent="0.25"/>
  <cols>
    <col min="1" max="1" width="29.5703125" customWidth="1"/>
    <col min="2" max="4" width="17.140625" customWidth="1"/>
  </cols>
  <sheetData>
    <row r="1" spans="1:4" ht="28.5" x14ac:dyDescent="0.45">
      <c r="A1" s="18" t="s">
        <v>95</v>
      </c>
    </row>
    <row r="2" spans="1:4" x14ac:dyDescent="0.25">
      <c r="A2" s="3"/>
    </row>
    <row r="3" spans="1:4" ht="23.25" customHeight="1" x14ac:dyDescent="0.25">
      <c r="A3" s="9" t="s">
        <v>162</v>
      </c>
      <c r="B3" s="17">
        <f>COUNTA(Emp_ID)</f>
        <v>35</v>
      </c>
    </row>
    <row r="4" spans="1:4" ht="23.25" customHeight="1" x14ac:dyDescent="0.25">
      <c r="A4" s="9" t="s">
        <v>134</v>
      </c>
      <c r="B4" s="10">
        <f>SUM(Annual_Salary)</f>
        <v>1958400</v>
      </c>
    </row>
    <row r="5" spans="1:4" ht="23.25" customHeight="1" x14ac:dyDescent="0.25">
      <c r="A5" s="9" t="s">
        <v>135</v>
      </c>
      <c r="B5" s="10">
        <f>AVERAGE(Annual_Salary)</f>
        <v>55954.285714285717</v>
      </c>
    </row>
    <row r="6" spans="1:4" ht="23.25" customHeight="1" x14ac:dyDescent="0.25">
      <c r="A6" s="9" t="s">
        <v>136</v>
      </c>
      <c r="B6" s="11">
        <f ca="1">MAX(Years_Service)</f>
        <v>25.7</v>
      </c>
    </row>
    <row r="7" spans="1:4" ht="23.25" customHeight="1" x14ac:dyDescent="0.25">
      <c r="A7" s="9" t="s">
        <v>137</v>
      </c>
      <c r="B7" s="12">
        <f>MAX(Date_of_Hire)</f>
        <v>42874</v>
      </c>
    </row>
    <row r="10" spans="1:4" x14ac:dyDescent="0.25">
      <c r="A10" s="9" t="s">
        <v>164</v>
      </c>
      <c r="B10" s="20" t="s">
        <v>167</v>
      </c>
    </row>
    <row r="11" spans="1:4" x14ac:dyDescent="0.25">
      <c r="A11" s="1" t="s">
        <v>168</v>
      </c>
      <c r="B11" s="6">
        <f>COUNTIFS(Gender,"M")</f>
        <v>17</v>
      </c>
    </row>
    <row r="12" spans="1:4" x14ac:dyDescent="0.25">
      <c r="A12" s="1" t="s">
        <v>169</v>
      </c>
      <c r="B12" s="6">
        <f>COUNTIFS(Gender,"F")</f>
        <v>18</v>
      </c>
    </row>
    <row r="15" spans="1:4" x14ac:dyDescent="0.25">
      <c r="A15" t="s">
        <v>5</v>
      </c>
      <c r="B15" t="s">
        <v>163</v>
      </c>
      <c r="C15" t="s">
        <v>165</v>
      </c>
      <c r="D15" t="s">
        <v>166</v>
      </c>
    </row>
    <row r="16" spans="1:4" x14ac:dyDescent="0.25">
      <c r="A16" s="1" t="s">
        <v>22</v>
      </c>
      <c r="B16" s="16">
        <f t="shared" ref="B16:B21" si="0">SUMIFS(Annual_Salary,Department,A16)</f>
        <v>197800</v>
      </c>
      <c r="C16" s="16">
        <f t="shared" ref="C16:C21" si="1">SUMIFS(Annual_Salary,Department,A16,Gender,$C$15)</f>
        <v>101400</v>
      </c>
      <c r="D16" s="16">
        <f t="shared" ref="D16:D21" si="2">SUMIFS(Annual_Salary,Department,A16,Gender,$D$15)</f>
        <v>96400</v>
      </c>
    </row>
    <row r="17" spans="1:4" x14ac:dyDescent="0.25">
      <c r="A17" s="1" t="s">
        <v>59</v>
      </c>
      <c r="B17" s="16">
        <f t="shared" si="0"/>
        <v>278500</v>
      </c>
      <c r="C17" s="16">
        <f t="shared" si="1"/>
        <v>178400</v>
      </c>
      <c r="D17" s="16">
        <f t="shared" si="2"/>
        <v>100100</v>
      </c>
    </row>
    <row r="18" spans="1:4" x14ac:dyDescent="0.25">
      <c r="A18" s="1" t="s">
        <v>55</v>
      </c>
      <c r="B18" s="16">
        <f t="shared" si="0"/>
        <v>807000</v>
      </c>
      <c r="C18" s="16">
        <f t="shared" si="1"/>
        <v>395600</v>
      </c>
      <c r="D18" s="16">
        <f t="shared" si="2"/>
        <v>411400</v>
      </c>
    </row>
    <row r="19" spans="1:4" x14ac:dyDescent="0.25">
      <c r="A19" s="1" t="s">
        <v>24</v>
      </c>
      <c r="B19" s="16">
        <f t="shared" si="0"/>
        <v>255500</v>
      </c>
      <c r="C19" s="16">
        <f t="shared" si="1"/>
        <v>59200</v>
      </c>
      <c r="D19" s="16">
        <f t="shared" si="2"/>
        <v>196300</v>
      </c>
    </row>
    <row r="20" spans="1:4" x14ac:dyDescent="0.25">
      <c r="A20" s="1" t="s">
        <v>15</v>
      </c>
      <c r="B20" s="16">
        <f t="shared" si="0"/>
        <v>227800</v>
      </c>
      <c r="C20" s="16">
        <f t="shared" si="1"/>
        <v>114400</v>
      </c>
      <c r="D20" s="16">
        <f t="shared" si="2"/>
        <v>113400</v>
      </c>
    </row>
    <row r="21" spans="1:4" x14ac:dyDescent="0.25">
      <c r="A21" s="1" t="s">
        <v>17</v>
      </c>
      <c r="B21" s="16">
        <f t="shared" si="0"/>
        <v>149700</v>
      </c>
      <c r="C21" s="16">
        <f t="shared" si="1"/>
        <v>86500</v>
      </c>
      <c r="D21" s="16">
        <f t="shared" si="2"/>
        <v>63200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64</vt:i4>
      </vt:variant>
    </vt:vector>
  </HeadingPairs>
  <TitlesOfParts>
    <vt:vector size="69" baseType="lpstr">
      <vt:lpstr>Staff</vt:lpstr>
      <vt:lpstr>Staff (2)</vt:lpstr>
      <vt:lpstr>Staff (3)</vt:lpstr>
      <vt:lpstr>Staff (4)</vt:lpstr>
      <vt:lpstr>Stats</vt:lpstr>
      <vt:lpstr>'Staff (2)'!Annual_Salary</vt:lpstr>
      <vt:lpstr>'Staff (3)'!Annual_Salary</vt:lpstr>
      <vt:lpstr>'Staff (4)'!Annual_Salary</vt:lpstr>
      <vt:lpstr>Annual_Salary</vt:lpstr>
      <vt:lpstr>'Staff (2)'!Date_of_Hire</vt:lpstr>
      <vt:lpstr>'Staff (3)'!Date_of_Hire</vt:lpstr>
      <vt:lpstr>'Staff (4)'!Date_of_Hire</vt:lpstr>
      <vt:lpstr>Date_of_Hire</vt:lpstr>
      <vt:lpstr>'Staff (2)'!Department</vt:lpstr>
      <vt:lpstr>'Staff (3)'!Department</vt:lpstr>
      <vt:lpstr>'Staff (4)'!Department</vt:lpstr>
      <vt:lpstr>Department</vt:lpstr>
      <vt:lpstr>'Staff (2)'!Email</vt:lpstr>
      <vt:lpstr>'Staff (3)'!Email</vt:lpstr>
      <vt:lpstr>'Staff (4)'!Email</vt:lpstr>
      <vt:lpstr>Email</vt:lpstr>
      <vt:lpstr>'Staff (2)'!Emp_ID</vt:lpstr>
      <vt:lpstr>'Staff (3)'!Emp_ID</vt:lpstr>
      <vt:lpstr>'Staff (4)'!Emp_ID</vt:lpstr>
      <vt:lpstr>Emp_ID</vt:lpstr>
      <vt:lpstr>'Staff (2)'!Extension</vt:lpstr>
      <vt:lpstr>'Staff (3)'!Extension</vt:lpstr>
      <vt:lpstr>'Staff (4)'!Extension</vt:lpstr>
      <vt:lpstr>Extension</vt:lpstr>
      <vt:lpstr>'Staff (2)'!First</vt:lpstr>
      <vt:lpstr>'Staff (3)'!First</vt:lpstr>
      <vt:lpstr>'Staff (4)'!First</vt:lpstr>
      <vt:lpstr>First</vt:lpstr>
      <vt:lpstr>'Staff (2)'!Floor</vt:lpstr>
      <vt:lpstr>'Staff (3)'!Floor</vt:lpstr>
      <vt:lpstr>'Staff (4)'!Floor</vt:lpstr>
      <vt:lpstr>Floor</vt:lpstr>
      <vt:lpstr>'Staff (2)'!Gender</vt:lpstr>
      <vt:lpstr>'Staff (3)'!Gender</vt:lpstr>
      <vt:lpstr>'Staff (4)'!Gender</vt:lpstr>
      <vt:lpstr>Gender</vt:lpstr>
      <vt:lpstr>'Staff (2)'!Last</vt:lpstr>
      <vt:lpstr>'Staff (3)'!Last</vt:lpstr>
      <vt:lpstr>'Staff (4)'!Last</vt:lpstr>
      <vt:lpstr>Last</vt:lpstr>
      <vt:lpstr>'Staff (2)'!Last_Review</vt:lpstr>
      <vt:lpstr>'Staff (3)'!Last_Review</vt:lpstr>
      <vt:lpstr>'Staff (4)'!Last_Review</vt:lpstr>
      <vt:lpstr>Last_Review</vt:lpstr>
      <vt:lpstr>'Staff (2)'!Location</vt:lpstr>
      <vt:lpstr>'Staff (3)'!Location</vt:lpstr>
      <vt:lpstr>'Staff (4)'!Location</vt:lpstr>
      <vt:lpstr>Location</vt:lpstr>
      <vt:lpstr>'Staff (2)'!Next_Review</vt:lpstr>
      <vt:lpstr>'Staff (3)'!Next_Review</vt:lpstr>
      <vt:lpstr>'Staff (4)'!Next_Review</vt:lpstr>
      <vt:lpstr>Next_Review</vt:lpstr>
      <vt:lpstr>'Staff (2)'!Pension</vt:lpstr>
      <vt:lpstr>'Staff (3)'!Pension</vt:lpstr>
      <vt:lpstr>'Staff (4)'!Pension</vt:lpstr>
      <vt:lpstr>Pension</vt:lpstr>
      <vt:lpstr>'Staff (2)'!Pension_Rate</vt:lpstr>
      <vt:lpstr>'Staff (3)'!Pension_Rate</vt:lpstr>
      <vt:lpstr>'Staff (4)'!Pension_Rate</vt:lpstr>
      <vt:lpstr>Pension_Rate</vt:lpstr>
      <vt:lpstr>'Staff (2)'!Years_Service</vt:lpstr>
      <vt:lpstr>'Staff (3)'!Years_Service</vt:lpstr>
      <vt:lpstr>'Staff (4)'!Years_Service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2026-10-13T18:33:03Z</dcterms:modified>
</cp:coreProperties>
</file>