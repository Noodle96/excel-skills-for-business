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jorge\Proyectos\ExcelLearning\03-intermediate-2\material_curso\modulo-03\"/>
    </mc:Choice>
  </mc:AlternateContent>
  <xr:revisionPtr revIDLastSave="0" documentId="13_ncr:1_{BC07E70F-614A-408A-A2E7-66D8801D7D15}" xr6:coauthVersionLast="47" xr6:coauthVersionMax="47" xr10:uidLastSave="{00000000-0000-0000-0000-000000000000}"/>
  <bookViews>
    <workbookView xWindow="-120" yWindow="-120" windowWidth="29040" windowHeight="15720" xr2:uid="{00000000-000D-0000-FFFF-FFFF00000000}"/>
  </bookViews>
  <sheets>
    <sheet name="Customer Quote" sheetId="2" r:id="rId1"/>
    <sheet name="International Price List" sheetId="1" r:id="rId2"/>
    <sheet name="Discount Matrix" sheetId="3" r:id="rId3"/>
  </sheets>
  <definedNames>
    <definedName name="_xlnm._FilterDatabase" localSheetId="1" hidden="1">'International Price List'!$A$3:$E$1254</definedName>
    <definedName name="Customer_Categories">'Discount Matrix'!$C$4:$F$4</definedName>
    <definedName name="Discount_Categories">'Discount Matrix'!$B$5:$B$8</definedName>
    <definedName name="Discounts">'Discount Matrix'!$C$5:$F$8</definedName>
    <definedName name="Item_Code">'International Price List'!$A$4:$A$1254</definedName>
    <definedName name="Quote">'Customer Quote'!$E$15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0" i="2" l="1"/>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G10" i="2"/>
  <c r="G11" i="2"/>
  <c r="G12" i="2"/>
  <c r="G13" i="2"/>
  <c r="G14" i="2"/>
  <c r="G15" i="2"/>
  <c r="G16" i="2"/>
  <c r="G17" i="2"/>
  <c r="G18" i="2"/>
  <c r="G19" i="2"/>
  <c r="G20" i="2"/>
  <c r="I20" i="2" s="1"/>
  <c r="G21" i="2"/>
  <c r="G22" i="2"/>
  <c r="I22" i="2" s="1"/>
  <c r="G23" i="2"/>
  <c r="I23" i="2" s="1"/>
  <c r="G24" i="2"/>
  <c r="I24" i="2" s="1"/>
  <c r="G25" i="2"/>
  <c r="I25" i="2" s="1"/>
  <c r="G26" i="2"/>
  <c r="I26" i="2" s="1"/>
  <c r="G27" i="2"/>
  <c r="I27" i="2" s="1"/>
  <c r="G28" i="2"/>
  <c r="G29" i="2"/>
  <c r="G30" i="2"/>
  <c r="G31" i="2"/>
  <c r="I31" i="2" s="1"/>
  <c r="G32" i="2"/>
  <c r="I32" i="2" s="1"/>
  <c r="G33" i="2"/>
  <c r="G34" i="2"/>
  <c r="G35" i="2"/>
  <c r="I35" i="2" s="1"/>
  <c r="G36" i="2"/>
  <c r="I36" i="2" s="1"/>
  <c r="G37" i="2"/>
  <c r="I37" i="2" s="1"/>
  <c r="G38" i="2"/>
  <c r="I38" i="2" s="1"/>
  <c r="G39" i="2"/>
  <c r="I39" i="2" s="1"/>
  <c r="I10"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F8" i="2"/>
  <c r="G8" i="2"/>
  <c r="E8" i="2"/>
  <c r="I11" i="2"/>
  <c r="I12" i="2"/>
  <c r="I13" i="2"/>
  <c r="I14" i="2"/>
  <c r="I15" i="2"/>
  <c r="I16" i="2"/>
  <c r="I17" i="2"/>
  <c r="I18" i="2"/>
  <c r="I19" i="2"/>
  <c r="I21" i="2"/>
  <c r="I28" i="2"/>
  <c r="I29" i="2"/>
  <c r="I30" i="2"/>
  <c r="I33" i="2"/>
  <c r="I34" i="2"/>
  <c r="E5" i="1" l="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4" i="1"/>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L10" i="2" l="1"/>
  <c r="L12" i="2"/>
  <c r="L11" i="2"/>
  <c r="L13" i="2"/>
  <c r="L14" i="2"/>
  <c r="I40" i="2" l="1"/>
  <c r="L15" i="2"/>
</calcChain>
</file>

<file path=xl/sharedStrings.xml><?xml version="1.0" encoding="utf-8"?>
<sst xmlns="http://schemas.openxmlformats.org/spreadsheetml/2006/main" count="3838" uniqueCount="2387">
  <si>
    <t>Shipping box: 8-slot Chassis System (complete set: Box/Foam)</t>
  </si>
  <si>
    <t xml:space="preserve">Shipping box/Foam: 8-slot </t>
  </si>
  <si>
    <t>Shipping Box 15-slot Chassis System (complete set: Box/Foam)</t>
  </si>
  <si>
    <t xml:space="preserve">Shipping Box/Foam: 15-slot </t>
  </si>
  <si>
    <t>SW Upd FWS*, FBS*, TS4F</t>
  </si>
  <si>
    <t>Rtr SW Update, NSR*, TSR4F</t>
  </si>
  <si>
    <t>Rtr SW Update, T/8, FI2, BI</t>
  </si>
  <si>
    <t xml:space="preserve">L4 SLB SW Upd </t>
  </si>
  <si>
    <t>L4 SLBXL/G SW Upd</t>
  </si>
  <si>
    <t xml:space="preserve">Documentation on CD-ROM </t>
  </si>
  <si>
    <t>IVIEW-SW Sppt</t>
  </si>
  <si>
    <t>ON-SITE INSTALLATION SVC (PER HOUR CHARGE)</t>
  </si>
  <si>
    <t>Onsite Install hourly rate</t>
  </si>
  <si>
    <t>NI XMR 8-Slot Chassis with fan assy</t>
  </si>
  <si>
    <t>NI XMR 4-Slot Chassis with fan assy</t>
  </si>
  <si>
    <t>NI XMR/MLX Switch fabric for 16- and 8-slot chassis</t>
  </si>
  <si>
    <t>NI XMR/MLX Switch fabric for 4-slot chassis</t>
  </si>
  <si>
    <t>NI XMR/MLX 8-Slot air filter</t>
  </si>
  <si>
    <t>NI XMR/MLX 4-Slot air filter</t>
  </si>
  <si>
    <t>NI MLX 16-Slot Chassis 1 MR, 3 SF3, 4 AC PS and Fan assy</t>
  </si>
  <si>
    <t>NI MLX 8-Slot Chassis 1 MR, 2 SF3, 2 AC PS and Fan assy</t>
  </si>
  <si>
    <t>NI MLX 4-Slot Chassis 1 MR, 2 SF1, 1 AC PS and Fan assy</t>
  </si>
  <si>
    <t>NI MLX 16-Slot Chassis 1 MR, 3 SF3, 4 DC PS and Fan assy</t>
  </si>
  <si>
    <t>NI MLX 8-Slot Chassis 1 MR, 2 SF3, 2 DC PS and Fan assy</t>
  </si>
  <si>
    <t>NI MLX 4-Slot Chassis 1 MR, 2 SF1, 1 DC PS and Fan assy</t>
  </si>
  <si>
    <t>NI MLX Management module</t>
  </si>
  <si>
    <t>NI MLX 4-port 10GE</t>
  </si>
  <si>
    <t>NI MLX 2-port 10GE</t>
  </si>
  <si>
    <t>NI MLX 20-port 100/1000 fiber</t>
  </si>
  <si>
    <t>NI MLX 20-port 10/100/1000 copper</t>
  </si>
  <si>
    <t>NI MLX 16-Slot Chassis with fan assy</t>
  </si>
  <si>
    <t>NI MLX 8-Slot Chassis with fan assy</t>
  </si>
  <si>
    <t>NI MLX 4-Slot Chassis with fan assy</t>
  </si>
  <si>
    <t>NEBS Air Filter</t>
  </si>
  <si>
    <t>Double-wide 24-port 10/100 and 4-port Gigabit (CF).</t>
  </si>
  <si>
    <t>16-port 10/100Base-TX (RJ45) with one expansion slot</t>
  </si>
  <si>
    <t>24-port 10/100Base-TX (RJ45) with one expansion slot</t>
  </si>
  <si>
    <t>16-port 10/100Base-TX (RJ45) with one expansion slot and -48vDC power supply</t>
  </si>
  <si>
    <t>24-port 10/100Base-TX (RJ45) with one expansion slot and -48vDC power supply</t>
  </si>
  <si>
    <t>16-port 10/100Base-TX (RJ45) and 2-port 1000Base-T (RJ45) copper Gigabit uplink</t>
  </si>
  <si>
    <t>16-port 10/100 switch with 2-port Gigabit Copper uplinks</t>
  </si>
  <si>
    <t>16-port 10/100Base-TX (RJ45) and 2-port 1000Base-SX (SC) Gigabit uplink for 50 or 62.um MMF</t>
  </si>
  <si>
    <t>16-port 10/100 switch with 2-port 1000Base-SX (SC) Gigabit uplink for 50 or 62.um MMF</t>
  </si>
  <si>
    <t>1-port 1000Base-T (RJ45) copper Gigabit uplink</t>
  </si>
  <si>
    <t>Spare: +1G Uplink +1G</t>
  </si>
  <si>
    <t>2-port 1000Base-T (RJ45) copper Gigabit uplink</t>
  </si>
  <si>
    <t>Spare: +2G Uplink +2G</t>
  </si>
  <si>
    <t>1-port 1000Base-SX (SC) Gigabit uplink for 50 or 62.5µm MMF</t>
  </si>
  <si>
    <t>1-p 1000Base-SX Uplink</t>
  </si>
  <si>
    <t>2-port 1000Base-SX (SC) Gigabit uplink for 50 or 62.5µm MMF</t>
  </si>
  <si>
    <t>2-p 1000Base-SX Uplink</t>
  </si>
  <si>
    <t>AC PS Stackables (not T/8)</t>
  </si>
  <si>
    <t>Factory DC Stck PS (no T/8)</t>
  </si>
  <si>
    <t>4-slot chassis equipped with WSM6 (Web Switching Management Module with THREE BPs), one AC Power Supply and 2-Port 10 Gigabit Line Module</t>
  </si>
  <si>
    <t>4-slot chassis equipped with WSM6 (Web Switching Management Module with THREE BPs), one –48V DC Power Supply and 2-Port 10 Gigabit Line Module</t>
  </si>
  <si>
    <t>Double-wide 24-port 10/100 and 4-port Gigabit (CF)</t>
  </si>
  <si>
    <t>Redundant -48V DC Power Supply for the 3-slot 2RU Chassis</t>
  </si>
  <si>
    <t>Ultra High performance WSM7 Web Switch Management Module with 3BPs. Use for replacement, redundancy, and performance upgrade.</t>
  </si>
  <si>
    <t>High performance Web Switch Management Module with 3BPs. Use for replacement, redundancy, and performance upgrade.</t>
  </si>
  <si>
    <t>Web Switch Management Module with 1BP. Use for replacement and redundancy.</t>
  </si>
  <si>
    <t>Web Switch Management Module with 2BPs. Use for replacement, redundancy, and performance upgrade from WSM6-1.</t>
  </si>
  <si>
    <t>Web switch management module with 1BP integrated SSL and 1MP</t>
  </si>
  <si>
    <t>Web switch management module with 2BP integrated SSL and 1MP</t>
  </si>
  <si>
    <t>SSL Service module with 1BP integrated SSL (no MP)</t>
  </si>
  <si>
    <t>SSL Service module with 2BP integrated SSL (no MP)</t>
  </si>
  <si>
    <t>Layer 2 Switching &amp; Layer 4-7 Traffic management software</t>
  </si>
  <si>
    <t>TrafficWorks - Switch</t>
  </si>
  <si>
    <t>INM STANDALONE NT</t>
  </si>
  <si>
    <t>INM SOLARIS</t>
  </si>
  <si>
    <t>INM LINUX</t>
  </si>
  <si>
    <t>Additional 5-user license to allow for 5 more concurrent users.</t>
  </si>
  <si>
    <t>INM License</t>
  </si>
  <si>
    <t>MetaSolv IP Service Activator (IPSA)-- Policy Engine
Core service activator policy engine required for the service activation functionality. Prerequisite for ordering the other MetaSolv service module packages</t>
  </si>
  <si>
    <t>MetaSolv IP Service Activator-- Policy Engine</t>
  </si>
  <si>
    <t>MetaSolv IP Service Activator (IPSA)-- Service activation package for Layer 2 VPN (VPLS and VLL) services with QoS capabilities and license to configure up to 400 customer-facing interfaces ("service access points").
Prerequisite: Requires ordering of ACT-Core-Policy-Eng (IP Service Activator-- Policy Engine) part also.
No additional charge for network facing interfaces on PE routers or for P router interfaces.</t>
  </si>
  <si>
    <t>MetaSolv IP Service Activator-- Service activation package for Layer 2 VPN (VPLS and VLL) services</t>
  </si>
  <si>
    <t>MetaSolv IP Service Activator (IPSA)-- Service activation package for Layer 3 VPN (RFC2547bis) services with QoS capabilities and license to configure up to 400 customer-facing interfaces ("service access points"). 
Prerequisite: Requires ordering of ACT-Core-Policy-Eng (IP Service Activator-- Policy Engine) part also.
No additional charge for network facing interfaces on PE routers or for P router interfaces.</t>
  </si>
  <si>
    <t>MetaSolv IP Service Activator-- Service activation package for Layer 3 VPN (RFC2547bis) services</t>
  </si>
  <si>
    <t>MetaSolv IP Service Activator (IPSA)-- Service activation package for both Layer 2 VPN (VPLS and VLL) and Layer 3 VPN (RFC2547bis) services with QoS capabilities and license to configure up to a total of 400 customer-facing interfaces ("service access points").
Prerequisite: Requires ordering of ACT-Core-Policy-Eng (IP Service Activator-- Policy Engine) part also.</t>
  </si>
  <si>
    <t>MetaSolv IP Service Activator-- Service activation package for both Layer 2 VPN (VPLS and VLL) and Layer 3 VPN (RFC2547bis) services</t>
  </si>
  <si>
    <t>MetaSolv IP Service Activator (IPSA)--Service activation package for Ethernet VLAN networks with QoS capabilities and license to configure up to 400 customer-facing interfaces ("service access points").
Prerequisite: Requires ordering of ACT-Core-Policy-Eng (IP Service Activator-- Policy Engine) part also.</t>
  </si>
  <si>
    <t xml:space="preserve">MetaSolv IP Service Activator--Service activation package for Ethernet VLAN networks </t>
  </si>
  <si>
    <t>MetaSolv IP Service Activator (IPSA)--Optional additional license bundles for 100 customer-facing interfaces ("service access points"). Purchase if the provider needs to manage more customer interfaces than what is bundled in the service activation package being used</t>
  </si>
  <si>
    <t xml:space="preserve">MetaSolv IP Service Activator--Optional additional license bundles for 100 customer-facing interfaces </t>
  </si>
  <si>
    <t>MetaSolv IP Service Activator (IPSA)--Optional additional license bundles for 500 customer-facing interfaces ("service access points"). Purchase if the provider needs to manage more customer interfaces than what is bundled in the service activation package being used</t>
  </si>
  <si>
    <t xml:space="preserve">MetaSolv IP Service Activator--Optional additional license bundles for 500 customer-facing interfaces </t>
  </si>
  <si>
    <t>MetaSolv IP Service Activator (IPSA)--Optional additional license bundles for 1000 customer-facing interfaces ("service access points"). Purchase if the provider needs to manage more customer interfaces than what is bundled in the service activation package being used</t>
  </si>
  <si>
    <t xml:space="preserve">MetaSolv IP Service Activator--Optional additional license bundles for 1000 customer-facing interfaces </t>
  </si>
  <si>
    <t>MetaSolv IP Service Activator (IPSA)--Optional additional license bundles for 5000 customer-facing interfaces. Purchase if the provider needs to manage more customer interfaces than what is bundled in the service activation package being used</t>
  </si>
  <si>
    <t xml:space="preserve">MetaSolv IP Service Activator--Optional additional license bundles for 5000 customer-facing interfaces </t>
  </si>
  <si>
    <t>FES/FWSX/FESX RACK EARS</t>
  </si>
  <si>
    <t>FES9604 Rack Mount Kit</t>
  </si>
  <si>
    <t>Spare, Kit, Rack Mounting, Stackable, FCS</t>
  </si>
  <si>
    <t>Rack Kit Stackable</t>
  </si>
  <si>
    <t>Rack kits for the 15-slot.</t>
  </si>
  <si>
    <t>Rack Kit 15-Slot</t>
  </si>
  <si>
    <t>15-slot Chassis Fan Tray</t>
  </si>
  <si>
    <t>Uplink Faceplt, Serial Port</t>
  </si>
  <si>
    <t>Faceplate for systems with 2-port fiber (Gig or 100base-fx) uplink (Replacement faceplate - Every Uplink option ships with appropriate faceplate)</t>
  </si>
  <si>
    <t>Uplink Faceplate, 2-p Fiber</t>
  </si>
  <si>
    <t>Faceplate for systems with 1-port fiber uplink (Replacement faceplate - Every Uplink option ships with appropriate faceplate)</t>
  </si>
  <si>
    <t>Uplink Faceplate, 1-p Fiber</t>
  </si>
  <si>
    <t>Faceplate for systems with 2-port 100base-Tx (RJ45) uplink (Replacement faceplate - Every Uplink option ships with appropriate faceplate)</t>
  </si>
  <si>
    <t>Uplink Faceplate, 2-TX</t>
  </si>
  <si>
    <t>Console Port Serial Cable (DB9F to DB9F) Straight-through</t>
  </si>
  <si>
    <t>Console Cable, Strght-Thru</t>
  </si>
  <si>
    <t>Console Cable EIF</t>
  </si>
  <si>
    <t>3m MMF Patch Cord with LC and SC connectors</t>
  </si>
  <si>
    <t>3m MMF LC-SC Patch Cord</t>
  </si>
  <si>
    <t>3m MMF Patch Cord with MTRJ and SC connectors</t>
  </si>
  <si>
    <t>3m MMF MTRJ-SC Patch Cord</t>
  </si>
  <si>
    <t>3m  SMF Patch Cord with LC and SC connectors</t>
  </si>
  <si>
    <t>3m SMF LC-SC Patch Cord</t>
  </si>
  <si>
    <t>Power Cord for RPS2/3/5, USA version, 9'10" (~ 10')</t>
  </si>
  <si>
    <t xml:space="preserve">USA Power Cord </t>
  </si>
  <si>
    <t>Power Cord for RPS2/3/5 USA version - NEMA 5-15P Plug (15amp)</t>
  </si>
  <si>
    <t>Power Cord for RPS2/3/5, United Kingdom version</t>
  </si>
  <si>
    <t xml:space="preserve">UK Power Cord </t>
  </si>
  <si>
    <t>Power Cord for RPS2/3/5, Japan version</t>
  </si>
  <si>
    <t xml:space="preserve">Japan Power Cord </t>
  </si>
  <si>
    <t>Power Cord for RPS2/3/5, European version</t>
  </si>
  <si>
    <t xml:space="preserve">EU Power Cord </t>
  </si>
  <si>
    <t>Power Cord for RPS4, USA version - NEMA 5-20P Plug (20amp)</t>
  </si>
  <si>
    <t>USA Power Cord (15-slot)</t>
  </si>
  <si>
    <t>250v Cord for RPS4, USA version - NEMA 6-15P Plug (15amp)</t>
  </si>
  <si>
    <t>USA Power Cord 250v</t>
  </si>
  <si>
    <t>Power Cord for RPS4, United Kingdom version</t>
  </si>
  <si>
    <t>UK Power Cord (15-slot)</t>
  </si>
  <si>
    <t>Power Cord for RPS4, European version</t>
  </si>
  <si>
    <t>EU Power Cord (15-slot)</t>
  </si>
  <si>
    <t>Power Cord for use with 2500,220V SX-ACPWR-2500-POE power supply. NEMA 6/20 specification.</t>
  </si>
  <si>
    <t>PC for SX-ACPWR-2500-POE</t>
  </si>
  <si>
    <t>FES WALL MOUNT</t>
  </si>
  <si>
    <t xml:space="preserve">Power Cord, IEC 320 C19 to NEMA 5-15 Japan PSE certified </t>
  </si>
  <si>
    <t>Power Cord for India used on 1,000 to 1,250 Watt Power Supplies</t>
  </si>
  <si>
    <t>Power Cord for China used on 1,000 to 1,250 Watt Power Supplies</t>
  </si>
  <si>
    <t>AUS Power Cord for the EIF, the RPS5, the RPS8, the RPS-X424, &amp; the RPS-X448</t>
  </si>
  <si>
    <t>PC, China IEC-309, 110/220v, 20Amp</t>
  </si>
  <si>
    <t>Accessory: Chassis System blank module slot panel</t>
  </si>
  <si>
    <t>Chass blank module panel</t>
  </si>
  <si>
    <t>Accessory: 4-slot and 8-slot Chassis Computer Rack Kit</t>
  </si>
  <si>
    <t>4-Slot Center Mnt Rack Kit</t>
  </si>
  <si>
    <t>Spare, Kit, Rack Mount, B4000</t>
  </si>
  <si>
    <t>4-slot Rack Mount Kit</t>
  </si>
  <si>
    <t>Accessory: 8-slot Chassis Rack Mount Kit (Bracket &amp; Screws)</t>
  </si>
  <si>
    <t xml:space="preserve">8-slot Rack Mount Kit </t>
  </si>
  <si>
    <t>NEBS 60 PPI Quadrafoam Air Filter Rated UL 94 HF-1</t>
  </si>
  <si>
    <t>Accessory: 15-slot Chassis System NEBS Fan Tray</t>
  </si>
  <si>
    <t>15-slot NEBS Fan Tray</t>
  </si>
  <si>
    <t>Shipping Box: Single Stackable System (complete set: Box/Foam)</t>
  </si>
  <si>
    <t>Box: Stackable</t>
  </si>
  <si>
    <t>Shipping Box: 4-slot Chassis System (complete set: Box/Foam)</t>
  </si>
  <si>
    <t xml:space="preserve">Shipping Box/Foam: 4-slot </t>
  </si>
  <si>
    <t>Shipping Box: Stackable Uplink</t>
  </si>
  <si>
    <t>Box: Stackable Uplink</t>
  </si>
  <si>
    <t>Shipping Box: Multipack for 5 Stackable Uplink (01400-008)</t>
  </si>
  <si>
    <t>Box: Uplink Multi-pack 5x</t>
  </si>
  <si>
    <t>Shipping Box: Multipack for 10 Stackable Uplink (01400-008)</t>
  </si>
  <si>
    <t>Box: Uplink Multi-pack 10x</t>
  </si>
  <si>
    <t>Shipping Box: Chassis System modules</t>
  </si>
  <si>
    <t>Box: BI/FI2 module</t>
  </si>
  <si>
    <t>Shipping Box: RPS3/RPS3-48vDC power supply</t>
  </si>
  <si>
    <t>Box: RPS3/RPS3DC PS</t>
  </si>
  <si>
    <t>Foam-Set: 4-slot Chassis System</t>
  </si>
  <si>
    <t xml:space="preserve">Foam-Set: 4-slot Chassis </t>
  </si>
  <si>
    <t>Box-Top: 4-slot Chassis System</t>
  </si>
  <si>
    <t xml:space="preserve">Box-Top: 4-slot Chassis </t>
  </si>
  <si>
    <t>Box-Top: 8-slot Chassis System</t>
  </si>
  <si>
    <t xml:space="preserve">Box-Top: 8-slot Chassis </t>
  </si>
  <si>
    <t>Box Bottom: 4- and 8-slot Chassis System</t>
  </si>
  <si>
    <t xml:space="preserve">Box Bottom: 4- and 8-slot  </t>
  </si>
  <si>
    <t>Redundant DC power supply (600W) for the FES X448 and FWS X448</t>
  </si>
  <si>
    <t>RPS DC (600W) for the FES X448</t>
  </si>
  <si>
    <t>1000Base-LX SFP optic, SMF, LC connector</t>
  </si>
  <si>
    <t>SX MMF SFP LC</t>
  </si>
  <si>
    <t>SX MMF SFP MTRJ</t>
  </si>
  <si>
    <t>LX SMF SFP LC</t>
  </si>
  <si>
    <t>FISX Chassis with DC PS</t>
  </si>
  <si>
    <t>FSX L2/Base L3 chassis bundle - AC PS, 3x24-port modules and an M1.</t>
  </si>
  <si>
    <t>FSX L2/Base L3 chassis bundle - DC PS, 3x24-port modules and an M1.</t>
  </si>
  <si>
    <t>FSX L3 chassis bundle - AC PS, 3x24-port modules and an M1.</t>
  </si>
  <si>
    <t>FSX L3 chassis bundle - DC PS, 3x24-port modules and an M1.</t>
  </si>
  <si>
    <t>FSX 800 chassis bundle includes 1xFI-SX800-S, 2xSX-FISF, 1xSX-ACPWR-SYS, 9xSX-FI-IFPNL, 3xSX-PWR-PNL, &amp; 1xSX-SX800-FAN</t>
  </si>
  <si>
    <t>FSX 1600 chassis bundle includes 1xFI-SX1600-S, 2xSX-FISF, 2xSX-ACPWR-SYS, 17xSX-FI-IFPNL, 6xSX-PWR-PNL,1xSX-SX1600-FILTER, &amp; 2xSX-SX1600-FAN</t>
  </si>
  <si>
    <t>FSX 800 chassis bundle includes 1xFI-SX800-S, 2xSX-FISF, 1xSX-DCPWR-SYS, 9xSX-FI-IFPNL, 3xSX-PWR-PNL, &amp; 1xSX-SX800-FAN</t>
  </si>
  <si>
    <t>FSX 800 chassis bundle - 1 AC PS &amp; 1 SF.</t>
  </si>
  <si>
    <t>FSX 800 chassis bundle - 1 DC PS and 1 SF.</t>
  </si>
  <si>
    <t>FSX 1600 chassis bundle includes 1xFI-SX1600-S, 2xSX-FISF, 2xSX-DCPWR-SYS, 17xSX-FI-IFPNL, 6xSX-PWR-PNL,1xSX-SX1600-FILTER, &amp; 2xSX-SX1600-FAN</t>
  </si>
  <si>
    <t>FSX 1600 chassis bundle - 2 AC PS and 1 SF.</t>
  </si>
  <si>
    <t>FSX 1600 chassis bundle - 2 DC PS and 1 SF.</t>
  </si>
  <si>
    <t>M3 for the FSX 800 and the FSX 1600 with zero-port</t>
  </si>
  <si>
    <t>M3 with zero-port and Full Layer 3 for the FSX 800 and the FSX 1600</t>
  </si>
  <si>
    <t>M4 2-port 10GbE for the FSX 800 and the FSX 1600</t>
  </si>
  <si>
    <t>M4 with 2-port 10GbE and Full Layer 3 for the FSX 800 and the FSX 1600</t>
  </si>
  <si>
    <t>24-port 100FX bundle, which includes SX-FI424HF and 24 E1MG-100FX optics for fiber to the desktop applications.</t>
  </si>
  <si>
    <t>24-port 100FX bundle</t>
  </si>
  <si>
    <t>POE Add-in Card for 24-port 10/100/1000 modules (Part # SX-FI424C)</t>
  </si>
  <si>
    <t>FISX 8-slot Chassis</t>
  </si>
  <si>
    <t>FI SuperX/SX module blank panel (interface module slots for FI SuperX and all module slots for FI SX 800/1600)</t>
  </si>
  <si>
    <t>FI SuperX/SX power supply blank panel</t>
  </si>
  <si>
    <t>FISX Fan</t>
  </si>
  <si>
    <t>FI SX 800 Fan and Fan tray</t>
  </si>
  <si>
    <t>FI SX 1600 Fan and Fan Tray</t>
  </si>
  <si>
    <t>FI SX 1600 Filter</t>
  </si>
  <si>
    <t>SF Module for the FSX 800 and the FSX 1600</t>
  </si>
  <si>
    <t>Auto-switching (90-220v) 550W AC power supply</t>
  </si>
  <si>
    <t>AC PS (BI)</t>
  </si>
  <si>
    <t>550W, -48vDC power supply</t>
  </si>
  <si>
    <t>550W, -48vDC PS (BI)</t>
  </si>
  <si>
    <t>Auto-switching (90-220V) AC power supply for POE shelf</t>
  </si>
  <si>
    <t>BI/FI POE power supply shelf</t>
  </si>
  <si>
    <t>auto-switching (90-220v) 1100W, AC power supply</t>
  </si>
  <si>
    <t>1100W, -48vDC power supply</t>
  </si>
  <si>
    <t>4-slot chassis equipped with WSM6-SSL-1 (Web Switching Management Module with ONE BP and integrated SSL acceleration), and one AC Power Supply</t>
  </si>
  <si>
    <t>4-slot chassis equipped with WSM6-SSL-2 (Web Switching Management Module with TWO BP and integrated SSL acceleration), and one AC Power Supply</t>
  </si>
  <si>
    <t xml:space="preserve">10G-ZR DWDM, XENPAK, 80km, 1561.42 nm, Ch. 20, SC </t>
  </si>
  <si>
    <t>10GBASE-ZR DWDM, XENPAK optic, 80km, 1560.61 nm, Channel 21, SC connector</t>
  </si>
  <si>
    <t xml:space="preserve">10G-ZR DWDM, XENPAK, 80km, 1560.61 nm, Ch. 21, SC </t>
  </si>
  <si>
    <t>10GBASE-ZR DWDM, XENPAK optic, 80km, 1559.79 nm, Channel 22, SC connector</t>
  </si>
  <si>
    <t xml:space="preserve">10G-ZR DWDM, XENPAK, 80km, 1559.79 nm, Ch. 22, SC </t>
  </si>
  <si>
    <t>10GBASE-ZR DWDM, XENPAK optic, 80km, 1558.98 nm, Channel 23, SC connector</t>
  </si>
  <si>
    <t xml:space="preserve">10G-ZR DWDM, XENPAK, 80km, 1558.98 nm, Ch. 23, SC </t>
  </si>
  <si>
    <t>10GBASE-ZR DWDM, XENPAK optic, 80km, 1558.17 nm, Channel 24, SC connector</t>
  </si>
  <si>
    <t xml:space="preserve">10G-ZR DWDM, XENPAK, 80km, 1558.17 nm, Ch. 24, SC </t>
  </si>
  <si>
    <t>10GBASE-ZR DWDM, XENPAK optic, 80km, 1557.36 nm, Channel 25, SC connector</t>
  </si>
  <si>
    <t xml:space="preserve">10G-ZR DWDM, XENPAK, 80km, 1557.36 nm, Ch. 25, SC </t>
  </si>
  <si>
    <t>10GBASE-ZR DWDM, XENPAK optic, 80km, 1556.55 nm, Channel 26, SC connector</t>
  </si>
  <si>
    <t xml:space="preserve">10G-ZR DWDM, XENPAK, 80km, 1556.55 nm, Ch. 26, SC </t>
  </si>
  <si>
    <t>10GBASE-ZR DWDM, XENPAK optic, 80km, 1555.75 nm, Channel 27, SC connector</t>
  </si>
  <si>
    <t xml:space="preserve">10G-ZR DWDM, XENPAK, 80km, 1555.75 nm, Ch. 27, SC </t>
  </si>
  <si>
    <t>10GBASE-ZR DWDM, XENPAK optic, 80km, 1554.94 nm, Channel 28, SC connector</t>
  </si>
  <si>
    <t xml:space="preserve">10G-ZR DWDM, XENPAK, 80km, 1554.94 nm, Ch. 28, SC </t>
  </si>
  <si>
    <t>10GBASE-ZR DWDM, XENPAK optic, 80km, 1554.13 nm, Channel 29, SC connector</t>
  </si>
  <si>
    <t xml:space="preserve">10G-ZR DWDM, XENPAK, 80km, 1554.13 nm, Ch. 29, SC </t>
  </si>
  <si>
    <t>10GBASE-ZR DWDM, XENPAK optic, 80km, 1553.33 nm, Channel 30, SC connector</t>
  </si>
  <si>
    <t xml:space="preserve">10G-ZR DWDM, XENPAK, 80km, 1553.33 nm, Ch. 30, SC </t>
  </si>
  <si>
    <t>10GBASE-ZR DWDM, XENPAK optic, 80km, 1552.52 nm, Channel 31, SC connector</t>
  </si>
  <si>
    <t xml:space="preserve">10G-ZR DWDM, XENPAK, 80km, 1552.52 nm, Ch. 31, SC </t>
  </si>
  <si>
    <t>10GBASE-ZR DWDM, XENPAK optic, 80km, 1551.72 nm, Channel 32, SC connector</t>
  </si>
  <si>
    <t xml:space="preserve">10G-ZR DWDM, XENPAK, 80km, 1551.72 nm, Ch. 32, SC </t>
  </si>
  <si>
    <t>10GBASE-ZR DWDM, XENPAK optic, 80km, 1550.92 nm, Channel 33, SC connector</t>
  </si>
  <si>
    <t xml:space="preserve">10G-ZR DWDM, XENPAK, 80km, 1550.92 nm, Ch. 33, SC </t>
  </si>
  <si>
    <t>10GBASE-ZR DWDM, XENPAK optic, 80km, 1550.12 nm, Channel 34, SC connector</t>
  </si>
  <si>
    <t xml:space="preserve">10G-ZR DWDM, XENPAK, 80km, 1550.12 nm, Ch. 34, SC </t>
  </si>
  <si>
    <t>10GBASE-ZR DWDM, XENPAK optic, 80km, 1549.32 nm, Channel 35, SC connector</t>
  </si>
  <si>
    <t xml:space="preserve">10G-ZR DWDM, XENPAK, 80km, 1549.32 nm, Ch. 35, SC </t>
  </si>
  <si>
    <t>10GBASE-ZR DWDM, XENPAK optic, 80km, 1548.51 nm, Channel 36, SC connector</t>
  </si>
  <si>
    <t xml:space="preserve">10G-ZR DWDM, XENPAK, 80km, 1548.51 nm, Ch. 36, SC </t>
  </si>
  <si>
    <t>10GBASE-ZR DWDM, XENPAK optic, 80km, 1547.72 nm, Channel 37, SC connector</t>
  </si>
  <si>
    <t xml:space="preserve">10G-ZR DWDM, XENPAK, 80km, 1547.72 nm, Ch. 37, SC </t>
  </si>
  <si>
    <t>10GBASE-ZR DWDM, XENPAK optic, 80km, 1546.92 nm, Channel 38, SC connector</t>
  </si>
  <si>
    <t xml:space="preserve">10G-ZR DWDM, XENPAK, 80km, 1546.92 nm, Ch. 38, SC </t>
  </si>
  <si>
    <t>10GBASE-ZR DWDM, XENPAK optic, 80km, 1546.12 nm, Channel 39, SC connector</t>
  </si>
  <si>
    <t xml:space="preserve">10G-ZR DWDM, XENPAK, 80km, 1546.12 nm, Ch. 39, SC </t>
  </si>
  <si>
    <t>10GBASE-ZR DWDM, XENPAK optic, 80km, 1545.32 nm, Channel 40, SC connector</t>
  </si>
  <si>
    <t xml:space="preserve">10G-ZR DWDM, XENPAK, 80km, 1545.32 nm, Ch. 40, SC </t>
  </si>
  <si>
    <t>10GBASE-ZR DWDM, XENPAK optic, 80km, 1544.53 nm, Channel 41, SC connector</t>
  </si>
  <si>
    <t xml:space="preserve">10G-ZR DWDM, XENPAK, 80km, 1544.53 nm, Ch. 41, SC </t>
  </si>
  <si>
    <t>10GBASE-ZR DWDM, XENPAK optic, 80km, 1543.73 nm, Channel 42, SC connector</t>
  </si>
  <si>
    <t xml:space="preserve">10G-ZR DWDM, XENPAK, 80km, 1543.73 nm, Ch. 42, SC </t>
  </si>
  <si>
    <t>10GBASE-ZR DWDM, XENPAK optic, 80km, 1542.94 nm, Channel 43, SC connector</t>
  </si>
  <si>
    <t xml:space="preserve">10G-ZR DWDM, XENPAK, 80km, 1542.94 nm, Ch. 43, SC </t>
  </si>
  <si>
    <t>10GBASE-ZR DWDM, XENPAK optic, 80km, 1542.14 nm, Channel 44, SC connector</t>
  </si>
  <si>
    <t xml:space="preserve">10G-ZR DWDM, XENPAK, 80km, 1542.14 nm, Ch. 44, SC </t>
  </si>
  <si>
    <t>10GBASE-ZR DWDM, XENPAK optic, 80km, 1541.35 nm, Channel 45, SC connector</t>
  </si>
  <si>
    <t xml:space="preserve">10G-ZR DWDM, XENPAK, 80km, 1541.35 nm, Ch. 45, SC </t>
  </si>
  <si>
    <t>10GBASE-ZR DWDM, XENPAK optic, 80km, 1540.56 nm, Channel 46, SC connector</t>
  </si>
  <si>
    <t xml:space="preserve">10G-ZR DWDM, XENPAK, 80km, 1540.56 nm, Ch. 46, SC </t>
  </si>
  <si>
    <t>10GBASE-ZR DWDM, XENPAK optic, 80km, 1539.77 nm, Channel 47, SC connector</t>
  </si>
  <si>
    <t xml:space="preserve">10G-ZR DWDM, XENPAK, 80km, 1539.77 nm, Ch. 47, SC </t>
  </si>
  <si>
    <t>10GBASE-ZR DWDM, XENPAK optic, 80km, 1538.98 nm, Channel 48, SC connector</t>
  </si>
  <si>
    <t xml:space="preserve">10G-ZR DWDM, XENPAK, 80km, 1538.98 nm, Ch. 48, SC </t>
  </si>
  <si>
    <t>10GBASE-ZR DWDM, XENPAK optic, 80km, 1538.19 nm, Channel 49, SC connector</t>
  </si>
  <si>
    <t xml:space="preserve">10G-ZR DWDM, XENPAK, 80km, 1538.19 nm, Ch. 49, SC </t>
  </si>
  <si>
    <t>10GBASE-ZR DWDM, XENPAK optic, 80km, 1537.40 nm, Channel 50, SC connector</t>
  </si>
  <si>
    <t xml:space="preserve">10G-ZR DWDM, XENPAK, 80km, 1537.40 nm, Ch. 50, SC </t>
  </si>
  <si>
    <t>10GBASE-ZR DWDM, XENPAK optic, 80km, 1536.61 nm, Channel 51, SC connector</t>
  </si>
  <si>
    <t xml:space="preserve">10G-ZR DWDM, XENPAK, 80km, 1536.61 nm, Ch. 51, SC </t>
  </si>
  <si>
    <t>10GBASE-ZR DWDM, XENPAK optic, 80km, 1535.82 nm, Channel 52, SC connector</t>
  </si>
  <si>
    <t xml:space="preserve">10G-ZR DWDM, XENPAK, 80km, 1535.82 nm, Ch. 52, SC </t>
  </si>
  <si>
    <t>10GBASE-ZR DWDM, XENPAK optic, 80km, 1535.04 nm, Channel 53, SC connector</t>
  </si>
  <si>
    <t xml:space="preserve">10G-ZR DWDM, XENPAK, 80km, 1535.04 nm, Ch. 53, SC </t>
  </si>
  <si>
    <t>10GBASE-ZR DWDM, XENPAK optic, 80km, 1534.25 nm, Channel 54, SC connector</t>
  </si>
  <si>
    <t xml:space="preserve">10G-ZR DWDM, XENPAK, 80km, 1534.25 nm, Ch. 54, SC </t>
  </si>
  <si>
    <t>10GBASE-ZR DWDM, XENPAK optic, 80km, 1533.47 nm, Channel 55, SC connector</t>
  </si>
  <si>
    <t xml:space="preserve">10G-ZR DWDM, XENPAK, 80km, 1533.47 nm, Ch. 55, SC </t>
  </si>
  <si>
    <t>10GBASE-ZR DWDM, XENPAK optic, 80km, 1532.68 nm, Channel 56, SC connector</t>
  </si>
  <si>
    <t xml:space="preserve">10G-ZR DWDM, XENPAK, 80km, 1532.68 nm, Ch. 56, SC </t>
  </si>
  <si>
    <t>10GBASE-ZR DWDM, XENPAK optic, 80km, 1531.90 nm, Channel 57, SC connector</t>
  </si>
  <si>
    <t xml:space="preserve">10G-ZR DWDM, XENPAK, 80km, 1531.90 nm, Ch. 57, SC </t>
  </si>
  <si>
    <t>10GBASE-ZR DWDM, XENPAK optic, 80km, 1531.12 nm, Channel 58, SC connector</t>
  </si>
  <si>
    <t xml:space="preserve">10G-ZR DWDM, XENPAK, 80km, 1531.12 nm, Ch. 58, SC </t>
  </si>
  <si>
    <t>10GBASE-ZR DWDM, XENPAK optic, 80km, 1530.33 nm, Channel 59, SC connector</t>
  </si>
  <si>
    <t xml:space="preserve">10G-ZR DWDM, XENPAK, 80km, 1530.33 nm, Ch. 59, SC </t>
  </si>
  <si>
    <t>10GBASE-ZR, XENPAK optic, 80km, 1550 nm, SC connectors</t>
  </si>
  <si>
    <t>10G-ZR XENPAK, 80km 1550nm, SC</t>
  </si>
  <si>
    <t>Mounting hardware for IP-ACC-ANT3-130P antenna</t>
  </si>
  <si>
    <t>Full featured dual band AP with 802.11a/b/g and a-Turbo support</t>
  </si>
  <si>
    <t>FULL FEATURED ACCESS POINT</t>
  </si>
  <si>
    <t>2.4 GHZ Omni-Directional Patch Antenna</t>
  </si>
  <si>
    <t>FIP-100 Single Port Power Injector</t>
  </si>
  <si>
    <t>FIP-600 Six Port Power Injector</t>
  </si>
  <si>
    <t>BI RX-16Chassis 1 MR, 3 SFM3, 4 PS and Fan assy</t>
  </si>
  <si>
    <t>BI RX-16Chassis 1 MR, 3 SWF3, 4 PS and Fan assy</t>
  </si>
  <si>
    <t>BI RX-8 Chassis 1 MR, 2 SWF3, 2 PS and Fan assy</t>
  </si>
  <si>
    <t>BI RX-4 Chassis 1 MR, 2 SWF1, 1 PS and Fan assy</t>
  </si>
  <si>
    <t>Switch Fabric for RX-16 and RX-8 Chassis</t>
  </si>
  <si>
    <t>Switch Fabric for RX-4 Chassis</t>
  </si>
  <si>
    <t>2 GB SIMM Upgrade Factory Configured.</t>
  </si>
  <si>
    <t xml:space="preserve">RX-Series Chassis AC power supply for RX-8 and RX-16 </t>
  </si>
  <si>
    <t>RX-Series Chassis AC power supply for RX-4</t>
  </si>
  <si>
    <t>DC PS, BI RX-8 and RX-16 Chassis</t>
  </si>
  <si>
    <t>DC PS, BI RX-4 Chassis</t>
  </si>
  <si>
    <t>BI RX-16 Int. Fan Assy</t>
  </si>
  <si>
    <t>BI RX-16 Exh. Fan Assy includes 2 fans</t>
  </si>
  <si>
    <t>BI RX-8 Fan Assy.</t>
  </si>
  <si>
    <t>BI RX-4 Fan Assy.</t>
  </si>
  <si>
    <t>128MB PCMCIA ATA Flash Memory for Management Modules</t>
  </si>
  <si>
    <t>850nm XENPAK optic</t>
  </si>
  <si>
    <t>BI 4000 Chass.+1 AC PS</t>
  </si>
  <si>
    <t>BI 4000 Chass.+1 DC PS</t>
  </si>
  <si>
    <t>BI 4000 Chass, SPARE no PS</t>
  </si>
  <si>
    <t xml:space="preserve">BI 8000 Chass.+1 AC PS </t>
  </si>
  <si>
    <t>BI 8000 Chass.+1 48vDC PS</t>
  </si>
  <si>
    <t>BI 8000 Chass. SPARE no PS</t>
  </si>
  <si>
    <t>BI 15000 Chass.+2 AC PS</t>
  </si>
  <si>
    <t>BI 15000 Chass.+2 DC PS</t>
  </si>
  <si>
    <t>BI 15000 AC PS</t>
  </si>
  <si>
    <t>BI 1500 -48vDC PS</t>
  </si>
  <si>
    <t>Jcore 24p FX multi</t>
  </si>
  <si>
    <t>BI Jcore 24p FX 15km</t>
  </si>
  <si>
    <t>BI Jcore 16GoC RJ-45</t>
  </si>
  <si>
    <t>BI Jcore 8-X SFP</t>
  </si>
  <si>
    <t>BI Jcore 16-X SFP</t>
  </si>
  <si>
    <t>1-port 10Gigabit Ethernet base module for systems requires optics. Select 10G-XNPK-SR, 10G-XNPK-LR or 10G-XNPK-ER</t>
  </si>
  <si>
    <t>1-port 10GbE Base</t>
  </si>
  <si>
    <t>2-port 10Gigabit Ethernet base module for systems requires optics. Select10G-XNPK-SR, 10G-XNPK-LR or 10G-XNPK-ER</t>
  </si>
  <si>
    <t>2-port 10GbE Base</t>
  </si>
  <si>
    <t>BI Jcore MGMT4 8-X mGBIC</t>
  </si>
  <si>
    <t>NI XMR 16-Slot Chassis 1 MR, 3 SF3, 4 AC PS and Fan assy</t>
  </si>
  <si>
    <t>NI XMR 8-Slot Chassis 1 MR, 2 SF3, 2 AC PS and Fan assy</t>
  </si>
  <si>
    <t>NI XMR 4-Slot Chassis 1 MR, 2 SF1, 1 AC PS and Fan assy</t>
  </si>
  <si>
    <t>NI XMR 16-Slot Chassis 1 MR, 3 SF3, 4 DC PS and Fan assy</t>
  </si>
  <si>
    <t>NI XMR 8-Slot Chassis 1 MR, 2 SF3, 2 DC PS and Fan assy</t>
  </si>
  <si>
    <t>NI XMR 4-Slot Chassis 1 MR, 2 SF1, 1 DC PS and Fan assy</t>
  </si>
  <si>
    <t>NI XMR Management module</t>
  </si>
  <si>
    <t>NI XMR 4-port 10GE</t>
  </si>
  <si>
    <t>NI XMR 2-port 10GE</t>
  </si>
  <si>
    <t>NI XMR 20-port 100/1000 fiber</t>
  </si>
  <si>
    <t>NI XMR 20-port 10/100/1000 copper</t>
  </si>
  <si>
    <t>NI XMR 16-Slot Chassis with fan assy</t>
  </si>
  <si>
    <t>100Base-FX SFP optic MMF, LC connector.</t>
  </si>
  <si>
    <t>100Base-FX SFP, MMF &amp; LC.</t>
  </si>
  <si>
    <t>100BaseFX-IR, SMF, LC, 15Km</t>
  </si>
  <si>
    <t>100BaseFX-LR, SMF, LC, 40Km</t>
  </si>
  <si>
    <t>100Base-BXU SFP optic SMF, 1310nm, LC connector. This optic can only be connected to an E1MG-100BXD at the far end.</t>
  </si>
  <si>
    <t>100Base-BXU SFP, 1310nm, SMF, &amp; LC. Connect only to an E1MG-100BXD.</t>
  </si>
  <si>
    <t>100Base-BXD SFP optic SMF, 1490nm, LC connector. This optic can only be connected to an E1MG-100BXU at the far end.</t>
  </si>
  <si>
    <t>100Base-BXD SFP, 1490nm, SMF, &amp; LC. Connect only to an E1MG-100BXU.</t>
  </si>
  <si>
    <t>1000BASE-TX SFP Copper, RJ-45 Connector</t>
  </si>
  <si>
    <t>1000BASE-TX Copper, RJ-45</t>
  </si>
  <si>
    <t>1000Base-SX SFP optic MMF, LC connector &amp; support for distances up to 2Km.</t>
  </si>
  <si>
    <t>1000Base-SX, SFP, MMF &amp; LC.</t>
  </si>
  <si>
    <t>1000Base-BXU SFP optic SMF, 1310nm, LC connector. This optic can only be connected to an E1MG-BXD at the far.</t>
  </si>
  <si>
    <t>1000Base-BXU SFP, 1310nm, SMF, &amp; LC. Connect only to an E1MG-BXD.</t>
  </si>
  <si>
    <t>1000Base-BXD SFP optic SMF, 1490nm, LC connector. This optic can only be connected to an E1MG-BXU at the far end.</t>
  </si>
  <si>
    <t>1000Base-BXD SFP, 1490nm, SMF, &amp; LC. Connect only to an E1MG-BXU.</t>
  </si>
  <si>
    <t>10GBASE-CX4, XFP module,15m, CX4 connector (Supported only on integrated XFP slot on FGS624XGP and FGS624XGP-POE)</t>
  </si>
  <si>
    <t>10G-CX4 XFP, 15m CX4</t>
  </si>
  <si>
    <t>1550nm serial pluggable XFP optic (LC) for up to 80km over SMF</t>
  </si>
  <si>
    <t>1550nm XFP optic (LC) for up to 80km over SMF</t>
  </si>
  <si>
    <t>10GBASE-ZR DWDM, XFP optic, 80km, 1561.42 nm, Channel 20, LC connector</t>
  </si>
  <si>
    <t xml:space="preserve">10G-ZR DWDM, XFP, 80km, 1561.42 nm, Ch. 20, LC </t>
  </si>
  <si>
    <t>10GBASE-ZR DWDM, XFP optic, 80km, 1560.61 nm, Channel 21, LC connector</t>
  </si>
  <si>
    <t xml:space="preserve">10G-ZR DWDM, XFP, 80km, 1560.61 nm, Ch. 21, LC </t>
  </si>
  <si>
    <t>10GBASE-ZR DWDM, XFP optic, 80km, 1559.79 nm, Channel 22, LC connector</t>
  </si>
  <si>
    <t xml:space="preserve">10G-ZR DWDM, XFP, 80km, 1559.79 nm, Ch. 22, LC </t>
  </si>
  <si>
    <t>10GBASE-ZR DWDM, XFP optic, 80km, 1558.98 nm, Channel 23, LC connector</t>
  </si>
  <si>
    <t xml:space="preserve">10G-ZR DWDM, XFP, 80km, 1558.98 nm, Ch. 23, LC </t>
  </si>
  <si>
    <t>10GBASE-ZR DWDM, XFP optic, 80km, 1558.17 nm, Channel 24, LC connector</t>
  </si>
  <si>
    <t xml:space="preserve">10G-ZR DWDM, XFP, 80km, 1558.17 nm, Ch. 24, LC </t>
  </si>
  <si>
    <t>10GBASE-ZR DWDM, XFP optic, 80km, 1557.36 nm, Channel 25, LC connector</t>
  </si>
  <si>
    <t xml:space="preserve">10G-ZR DWDM, XFP, 80km, 1557.36 nm, Ch. 25, LC </t>
  </si>
  <si>
    <t>10GBASE-ZR DWDM, XFP optic, 80km, 1556.55 nm, Channel 26, LC connector</t>
  </si>
  <si>
    <t xml:space="preserve">10G-ZR DWDM, XFP, 80km, 1556.55 nm, Ch. 26, LC </t>
  </si>
  <si>
    <t>10GBASE-ZR DWDM, XFP optic, 80km, 1555.75 nm, Channel 27, LC connector</t>
  </si>
  <si>
    <t xml:space="preserve">10G-ZR DWDM, XFP, 80km, 1555.75 nm, Ch. 27, LC </t>
  </si>
  <si>
    <t>10GBASE-ZR DWDM, XFP optic, 80km, 1554.94 nm, Channel 28, LC connector</t>
  </si>
  <si>
    <t xml:space="preserve">10G-ZR DWDM, XFP, 80km, 1554.94 nm, Ch. 28, LC </t>
  </si>
  <si>
    <t>10GBASE-ZR DWDM, XFP optic, 80km, 1554.13 nm, Channel 29, LC connector</t>
  </si>
  <si>
    <t xml:space="preserve">10G-ZR DWDM, XFP, 80km, 1554.13 nm, Ch. 29, LC </t>
  </si>
  <si>
    <t>10GBASE-ZR DWDM, XFP optic, 80km, 1553.33 nm, Channel 30, LC connector</t>
  </si>
  <si>
    <t xml:space="preserve">10G-ZR DWDM, XFP, 80km, 1553.33 nm, Ch. 30, LC </t>
  </si>
  <si>
    <t>10GBASE-ZR DWDM, XFP optic, 80km, 1552.52 nm, Channel 31, LC connector</t>
  </si>
  <si>
    <t xml:space="preserve">10G-ZR DWDM, XFP, 80km, 1552.52 nm, Ch. 31, LC </t>
  </si>
  <si>
    <t>10GBASE-ZR DWDM, XFP optic, 80km, 1551.72 nm, Channel 32, LC connector</t>
  </si>
  <si>
    <t xml:space="preserve">10G-ZR DWDM, XFP, 80km, 1551.72 nm, Ch. 32, LC </t>
  </si>
  <si>
    <t>10GBASE-ZR DWDM, XFP optic, 80km, 1550.92 nm, Channel 33, LC connector</t>
  </si>
  <si>
    <t xml:space="preserve">10G-ZR DWDM, XFP, 80km, 1550.92 nm, Ch. 33, LC </t>
  </si>
  <si>
    <t>10GBASE-ZR DWDM, XFP optic, 80km, 1550.12 nm, Channel 34, LC connector</t>
  </si>
  <si>
    <t xml:space="preserve">10G-ZR DWDM, XFP, 80km, 1550.12 nm, Ch. 34, LC </t>
  </si>
  <si>
    <t>10GBASE-ZR DWDM, XFP optic, 80km, 1549.32 nm, Channel 35, LC connector</t>
  </si>
  <si>
    <t xml:space="preserve">10G-ZR DWDM, XFP, 80km, 1549.32 nm, Ch. 35, LC </t>
  </si>
  <si>
    <t>10GBASE-ZR DWDM, XFP optic, 80km, 1548.51 nm, Channel 36, LC connector</t>
  </si>
  <si>
    <t xml:space="preserve">10G-ZR DWDM, XFP, 80km, 1548.51 nm, Ch. 36, LC </t>
  </si>
  <si>
    <t>10GBASE-ZR DWDM, XFP optic, 80km, 1547.72 nm, Channel 37, LC connector</t>
  </si>
  <si>
    <t xml:space="preserve">10G-ZR DWDM, XFP, 80km, 1547.72 nm, Ch. 37, LC </t>
  </si>
  <si>
    <t>10GBASE-ZR DWDM, XFP optic, 80km, 1546.92 nm, Channel 38, LC connector</t>
  </si>
  <si>
    <t xml:space="preserve">10G-ZR DWDM, XFP, 80km, 1546.92 nm, Ch. 38, LC </t>
  </si>
  <si>
    <t>10GBASE-ZR DWDM, XFP optic, 80km, 1546.12 nm, Channel 39, LC connector</t>
  </si>
  <si>
    <t xml:space="preserve">10G-ZR DWDM, XFP, 80km, 1546.12 nm, Ch. 39, LC </t>
  </si>
  <si>
    <t>10GBASE-ZR DWDM, XFP optic, 80km, 1545.32 nm, Channel 40, LC connector</t>
  </si>
  <si>
    <t xml:space="preserve">10G-ZR DWDM, XFP, 80km, 1545.32 nm, Ch. 40, LC </t>
  </si>
  <si>
    <t>10GBASE-ZR DWDM, XFP optic, 80km, 1544.53 nm, Channel 41, LC connector</t>
  </si>
  <si>
    <t xml:space="preserve">10G-ZR DWDM, XFP, 80km, 1544.53 nm, Ch. 41, LC </t>
  </si>
  <si>
    <t>10GBASE-ZR DWDM, XFP optic, 80km, 1543.73 nm, Channel 42, LC connector</t>
  </si>
  <si>
    <t xml:space="preserve">10G-ZR DWDM, XFP, 80km, 1543.73 nm, Ch. 42, LC </t>
  </si>
  <si>
    <t>10GBASE-ZR DWDM, XFP optic, 80km, 1542.94 nm, Channel 43, LC connector</t>
  </si>
  <si>
    <t xml:space="preserve">10G-ZR DWDM, XFP, 80km, 1542.94 nm, Ch. 43, LC </t>
  </si>
  <si>
    <t>10GBASE-ZR DWDM, XFP optic, 80km, 1542.14 nm, Channel 44, LC connector</t>
  </si>
  <si>
    <t xml:space="preserve">10G-ZR DWDM, XFP, 80km, 1542.14 nm, Ch. 44, LC </t>
  </si>
  <si>
    <t>10GBASE-ZR DWDM, XFP optic, 80km, 1541.35 nm, Channel 45, LC connector</t>
  </si>
  <si>
    <t xml:space="preserve">10G-ZR DWDM, XFP, 80km, 1541.35 nm, Ch. 45, LC </t>
  </si>
  <si>
    <t>10GBASE-ZR DWDM, XFP optic, 80km, 1540.56 nm, Channel 46, LC connector</t>
  </si>
  <si>
    <t xml:space="preserve">10G-ZR DWDM, XFP, 80km, 1540.56 nm, Ch. 46, LC </t>
  </si>
  <si>
    <t>10GBASE-ZR DWDM, XFP optic, 80km, 1539.77 nm, Channel 47, LC connector</t>
  </si>
  <si>
    <t xml:space="preserve">10G-ZR DWDM, XFP, 80km, 1539.77 nm, Ch. 47, LC </t>
  </si>
  <si>
    <t>10GBASE-ZR DWDM, XFP optic, 80km, 1538.98 nm, Channel 48, LC connector</t>
  </si>
  <si>
    <t xml:space="preserve">10G-ZR DWDM, XFP, 80km, 1538.98 nm, Ch. 48, LC </t>
  </si>
  <si>
    <t>10GBASE-ZR DWDM, XFP optic, 80km, 1538.19 nm, Channel 49, LC connector</t>
  </si>
  <si>
    <t xml:space="preserve">10G-ZR DWDM, XFP, 80km, 1538.19 nm, Ch. 49, LC </t>
  </si>
  <si>
    <t>10GBASE-ZR DWDM, XFP optic, 80km, 1537.40 nm, Channel 50, LC connector</t>
  </si>
  <si>
    <t xml:space="preserve">10G-ZR DWDM, XFP, 80km, 1537.40 nm, Ch. 50, LC </t>
  </si>
  <si>
    <t>10GBASE-ZR DWDM, XFP optic, 80km, 1536.61 nm, Channel 51, LC connector</t>
  </si>
  <si>
    <t xml:space="preserve">10G-ZR DWDM, XFP, 80km, 1536.61 nm, Ch. 51, LC </t>
  </si>
  <si>
    <t>10GBASE-ZR DWDM, XFP optic, 80km, 1535.82 nm, Channel 52, LC connector</t>
  </si>
  <si>
    <t xml:space="preserve">10G-ZR DWDM, XFP, 80km, 1535.82 nm, Ch. 52, LC </t>
  </si>
  <si>
    <t>10GBASE-ZR DWDM, XFP optic, 80km, 1535.04 nm, Channel 53, LC connector</t>
  </si>
  <si>
    <t xml:space="preserve">10G-ZR DWDM, XFP, 80km, 1535.04 nm, Ch. 53, LC </t>
  </si>
  <si>
    <t>10GBASE-ZR DWDM, XFP optic, 80km, 1534.25 nm, Channel 54, LC connector</t>
  </si>
  <si>
    <t xml:space="preserve">10G-ZR DWDM, XFP, 80km, 1534.25 nm, Ch. 54, LC </t>
  </si>
  <si>
    <t>10GBASE-ZR DWDM, XFP optic, 80km, 1533.47 nm, Channel 55, LC connector</t>
  </si>
  <si>
    <t xml:space="preserve">10G-ZR DWDM, XFP, 80km, 1533.47 nm, Ch. 55, LC </t>
  </si>
  <si>
    <t>10GBASE-ZR DWDM, XFP optic, 80km, 1532.68 nm, Channel 56, LC connector</t>
  </si>
  <si>
    <t xml:space="preserve">10G-ZR DWDM, XFP, 80km, 1532.68 nm, Ch. 56, LC </t>
  </si>
  <si>
    <t>10GBASE-ZR DWDM, XFP optic, 80km, 1531.90 nm, Channel 57, LC connector</t>
  </si>
  <si>
    <t xml:space="preserve">10G-ZR DWDM, XFP, 80km, 1531.90 nm, Ch. 57, LC </t>
  </si>
  <si>
    <t>10GBASE-ZR DWDM, XFP optic, 80km, 1531.12 nm, Channel 58, LC connector</t>
  </si>
  <si>
    <t xml:space="preserve">10G-ZR DWDM, XFP, 80km, 1531.12 nm, Ch. 58, LC </t>
  </si>
  <si>
    <t>10GBASE-ZR DWDM, XFP optic, 80km, 1530.33 nm, Channel 59, LC connector</t>
  </si>
  <si>
    <t xml:space="preserve">10G-ZR DWDM, XFP, 80km, 1530.33 nm, Ch. 59, LC </t>
  </si>
  <si>
    <t>2-port 10GbE XFP module</t>
  </si>
  <si>
    <t>CX4 Cable for use with 10GbE CX4 ports. Distance is 50cm or 0.5m.</t>
  </si>
  <si>
    <t>50cm (0.5m) CX4 Cable</t>
  </si>
  <si>
    <t>POE Add-in DIMM provides power for 24 ports of 10/100/1000.  Used with the FGS624P and FGS648P and respective DC versions. The FGS648P requires 2 POE DIMMs to enable all 48-ports for POE.</t>
  </si>
  <si>
    <t>POE Add-in Card</t>
  </si>
  <si>
    <t>600W,  AC PS FGS Only</t>
  </si>
  <si>
    <t>600W, DC power supply for FGS624P, FGS648P, FGS624P-POE, FGS648P-POE and respective DC versions only</t>
  </si>
  <si>
    <t>600W,  DC PS FGS Only</t>
  </si>
  <si>
    <t>NI XMR/MLX AC power supply for 16- and 8-slot chassis</t>
  </si>
  <si>
    <t>NI XMR/MLX AC power supply for 4-slot chassis</t>
  </si>
  <si>
    <t>NI XMR/MLX DC power supply for 16- and 8-slot chassis</t>
  </si>
  <si>
    <t>NI XMR/MLX DC power supply for 4-slot chassis</t>
  </si>
  <si>
    <t>NI XMR/MLX 16-Slot Chassis intake fan assembly</t>
  </si>
  <si>
    <t>NI XMR/MLX 16-Slot Chassis exhaust fan assembly (includes two fans)</t>
  </si>
  <si>
    <t>NI XMR/MLX 8-Slot chassis fan assembly</t>
  </si>
  <si>
    <t>NI XMR/MLX 4-Slot chassis fan assembly</t>
  </si>
  <si>
    <t>NI XMR/MLX 16-Slot air filter</t>
  </si>
  <si>
    <t>Field upgradeable 1-port 10GbE XFP expansion module</t>
  </si>
  <si>
    <t>1-port 10GbE XFP module</t>
  </si>
  <si>
    <t>Field upgradeable 2-port 10GbE XFP expansion module</t>
  </si>
  <si>
    <t>10GBASE-CX4, XFP module,15m, CX4 connector</t>
  </si>
  <si>
    <t>Redundant power supply (220W) for the FESX424</t>
  </si>
  <si>
    <t>RPS (220W) FESX424 only</t>
  </si>
  <si>
    <t>Redundant DC power supply (600W) for the FESX424</t>
  </si>
  <si>
    <t>RPS DC PS (600W) FESX424 only</t>
  </si>
  <si>
    <t>Layer 3 software upgrade for the FESX424 and the FESX424HF.</t>
  </si>
  <si>
    <t>Redundant power supply (600W) for the FES X448</t>
  </si>
  <si>
    <t>RPS (600W) for the FES X448</t>
  </si>
  <si>
    <t>L3 upgrade for the FES X448</t>
  </si>
  <si>
    <t>FWSX424 L2 SW, 24 10/100/1000 ports (RJ-45) with 4-port SFP, &amp; 1 AC PS.</t>
  </si>
  <si>
    <t>FWSX424 L2 SW, 24 10/100/1000 ports (RJ-45), 4-port SFP, &amp; 1 DC PS.</t>
  </si>
  <si>
    <t>FWSX424 L2 SW, 24 10/100/1000 ports (RJ-45) with 4-port SFP, 1-slot XFP, &amp; 1 AC PS.</t>
  </si>
  <si>
    <t>FWSX424 L2 SW, 24 10/100/1000 ports (RJ-45), 4-port SFP, 1-slot XFP, &amp; 1 DC PS.</t>
  </si>
  <si>
    <t>FWSX424 L2 SW, 24 10/100/1000 ports (RJ-45) with 4-port SFP, 2-slot XFP, &amp; 1 AC PS.</t>
  </si>
  <si>
    <t>FWSX424 L2 SW, 24 10/100/1000 ports (RJ-45), 4-port SFP, 2-slot XFP, &amp; 1 DC PS.</t>
  </si>
  <si>
    <t>FWSX448 L2 SW 48 10/100/1000 ports (RJ-45) with 4-port SFP, &amp; 1 AC PS.</t>
  </si>
  <si>
    <t>FWSX448 Base L3 SW, 24 10/100/1000 ports (RJ-45) with 4-port Combo, &amp; 1 DC PS.</t>
  </si>
  <si>
    <t>FWSX448 L2 SW, 48 10/100/1000 ports (RJ-45) with 4-port SFP, 1-slot XFP &amp; 1 AC PS.</t>
  </si>
  <si>
    <t>FWSX448 Base L3 SW, 48-port 10/100/1000 (RJ-45) with 4-port Combo, 1-port XFP 10GbE, &amp; 1 DC PS.</t>
  </si>
  <si>
    <t>FWSX448 L2 SW, 48 10/100/1000 ports (RJ-45) with 4-port SFP, 2-slot XFP, &amp; 1 AC PS.</t>
  </si>
  <si>
    <t>FWSX448 Base L3 SW, 48-port 10/100/1000 (RJ-45) with 4-port Combo, 2-port XFP 10GbE, &amp; 1 DC PS.</t>
  </si>
  <si>
    <t>Redundant power supply (220W) for the FESX424 and FWSX424</t>
  </si>
  <si>
    <t>Redundant DC power supply (600W) for the FESX424 and FWSX424</t>
  </si>
  <si>
    <t>Redundant power supply (600W) for the FES X448 and FWSX448</t>
  </si>
  <si>
    <t>Category</t>
  </si>
  <si>
    <t>A</t>
  </si>
  <si>
    <t>Redundant power supply for the FLS624, FLS648, EIF2402CF, EIF4802CF, EIF24GA, EIF24G-A, EIF48G, AND EIF8X10G</t>
  </si>
  <si>
    <t>C</t>
  </si>
  <si>
    <t xml:space="preserve">1-port XFP 10 Gigabit Ethernet module for the FLS 624 and the FLS 648. </t>
  </si>
  <si>
    <t>100BaseFX-IR SFP optic for SMF with LC connector. For distances up to 15Km.</t>
  </si>
  <si>
    <t>100Base-FX LR SFP optic for SMF with LC connector. For distances up to 40Km.</t>
  </si>
  <si>
    <t>Pluggable XFP transceiver (LC), 1310 nm serial with EDC, up to 200 meters multi-mode fiber (MMF)</t>
  </si>
  <si>
    <t>Pluggable XFP transceiver (LC), 1310 nm, 200 meters MMF</t>
  </si>
  <si>
    <t>Power Cord, China, IEC309 TO C13, 10A, 110V, 2.5M</t>
  </si>
  <si>
    <t>600W, AC power supply for FGS624P, FGS648P, FGS624P-POE, FGS648P-POE and respective AC versions only</t>
  </si>
  <si>
    <t>2-port CX4 FISX module bundle</t>
  </si>
  <si>
    <t>2 GB SIMM Memory Upgrade for RX-BI-MR Field Replacement Upgrade. This part is for upgrading RX-BI-MR modules in the field from 512MB to 2GB SIMM.</t>
  </si>
  <si>
    <t>B</t>
  </si>
  <si>
    <t>POS OC-192 (STM-64) SR-1 pluggable XFP optic (LC connector). Range up to 2 km over SMF.</t>
  </si>
  <si>
    <t>POS OC-192 (STM-64) IR-2 pluggable XFP optic (LC connector). Range up to 40 km over SMF.</t>
  </si>
  <si>
    <t>POS OC-48 (STM-16) SR-1 pluggable SFP optic (LC connector). Range up to 2 km over SMF.</t>
  </si>
  <si>
    <t>POS OC-48 (STM-16) IR-1 pluggable SFP optic (LC connector). Range up to 15 km over SMF.</t>
  </si>
  <si>
    <t>POS OC-48 (STM-16) LR-1 pluggable SFP optic (LC connector). Range up to 40 km over SMF.</t>
  </si>
  <si>
    <t>POS OC-48 (STM-16) LR-2 pluggable SFP optic (LC connector). Range up to 80 km over SMF.</t>
  </si>
  <si>
    <t>POS OC-12 (STM-4) SR-1/IR-1 pluggable SFP optic (LC connector). Range up to 15 km over SMF. No attenuator needed for SR-1 appliations.</t>
  </si>
  <si>
    <t>POS OC-12 (STM-4) LR-1 pluggable SFP optic (LC connector). Range up to 40 km over SMF.</t>
  </si>
  <si>
    <t>POS OC-12 (STM-4) LR-2 pluggable SFP optic (LC connector). Range up to 80 km over SMF.</t>
  </si>
  <si>
    <t>1000Base-LHA SFP optic, SMF, LC connector</t>
  </si>
  <si>
    <t>10GBASE-LW 1310nm serial plugable XENPAK WAN PHY optic only (SC) for up to 10km over SMF OC-192 format</t>
  </si>
  <si>
    <t>10GBASE-LW 1310nm XENPAK WAN PHY optic OC-192</t>
  </si>
  <si>
    <t>10GBASE-ZR DWDM, XENPAK optic, 80km, 1561.42 nm, Channel 20, SC connector</t>
  </si>
  <si>
    <t>Item</t>
  </si>
  <si>
    <t>24-Port 10/100 with 2-Port GbE Combo RJ-45 (Copper) and SFP (Fiber)</t>
  </si>
  <si>
    <t>EIF 24 10/100 + 2 Combo GbE</t>
  </si>
  <si>
    <t xml:space="preserve">48-Port 10/100 with 2-Port GbE Combo RJ-45 (Copper) and SFP (Fiber) </t>
  </si>
  <si>
    <t>EIF 48 10/100 + 2 Combo GbE</t>
  </si>
  <si>
    <t>20 FE/1000 + 4 C/F GbE</t>
  </si>
  <si>
    <t>48-port 10/100/1000 with up to 4-port combo SFP slots</t>
  </si>
  <si>
    <t>850nm serial pluggable XFP optic (LC), target range 300m over MMF</t>
  </si>
  <si>
    <t>10GbE SR XFP, MMF, LC</t>
  </si>
  <si>
    <t>1310nm serial pluggable XFP optic (LC) for up to 10km over SMF</t>
  </si>
  <si>
    <t>10GbE LR XFP, SMF, LC</t>
  </si>
  <si>
    <t>1550nm serial pluggable XFP optic (LC) for up to 40km over SMF</t>
  </si>
  <si>
    <t>10GbE ER XFP optics, SMF, LC connector</t>
  </si>
  <si>
    <t>10GBASE-CX4 10-GbE XENPAK copper transceiver; supports distance of 15m over Infiniband cable</t>
  </si>
  <si>
    <t>850nm serial  XENPAK plug-in transceiver (SC), target range of 300m over MMF</t>
  </si>
  <si>
    <t>850NM  XENPAK optic</t>
  </si>
  <si>
    <t>1310nm serial plugable XENPAK optic only (SC) for up to 10km over SMF</t>
  </si>
  <si>
    <t>1310nm XENPAK optic</t>
  </si>
  <si>
    <t>10GBASE-LX4 WWDM four parallel signals plugable XENPAK LAN PHY optic (SC) for up to 10km over SMF or 300m FDDI-grade MMF</t>
  </si>
  <si>
    <t>10GBASE-LX4 WWDM XENPAK LAN PHY 300m MMF 10km SMF</t>
  </si>
  <si>
    <t>1550nm serial plugable XENPAK optic only (SC) for up to 40km over SMF</t>
  </si>
  <si>
    <t>1550nm XENPAK optic</t>
  </si>
  <si>
    <t>1000BaseSX SFP optic MMF, LC connector</t>
  </si>
  <si>
    <t>SX MMF SFP</t>
  </si>
  <si>
    <t>1000BaseLX SFP optic SMF, LC connector</t>
  </si>
  <si>
    <t>LX SMF SFP</t>
  </si>
  <si>
    <t>1000BaseLHA SFP optic SMF, LC connector</t>
  </si>
  <si>
    <t>LHA SMF SFP</t>
  </si>
  <si>
    <t>80Km, 1470nm, LC connector</t>
  </si>
  <si>
    <t>80Km, 1490nm, LC connector</t>
  </si>
  <si>
    <t>80Km, 1510nm, LC connector</t>
  </si>
  <si>
    <t>80Km, 1530nm, LC connector</t>
  </si>
  <si>
    <t>80Km, 1550nm, LC connector</t>
  </si>
  <si>
    <t>80Km, 1570nm, LC connector</t>
  </si>
  <si>
    <t>80Km, 1590nm, LC connector</t>
  </si>
  <si>
    <t>80Km, 1610nm, LC connector</t>
  </si>
  <si>
    <t>24-port 10/100Base-TX (RJ45) plus 2-port 1000Base-T and 1000Base-X (SFP) with AC power supply</t>
  </si>
  <si>
    <t>24p 2 C/F w 1 AC</t>
  </si>
  <si>
    <t>48-port 10/100Base-TX (RJ45) plus 2-port 1000Base-T and 1000Base-X (SFP) with AC power supply</t>
  </si>
  <si>
    <t>48p, 2 C/F &amp; 1 AC</t>
  </si>
  <si>
    <t>96-port 10/100Base-TX (RJ45) plus 4-port 1000Base-T and 1000Base-X (SFP) with AC power supply</t>
  </si>
  <si>
    <t>96p, 4 C/F &amp; AC</t>
  </si>
  <si>
    <t>24-port 10/100Base-TX (RJ45) plus 2-port 1000Base-T and 1000Base-X (SFP) with -48vDC power supply</t>
  </si>
  <si>
    <t>24p, 2 C/F &amp; 1 DC</t>
  </si>
  <si>
    <t>48-port 10/100Base-TX (RJ45) plus 2-port 1000Base-T and 1000Base-X (SFP) with -48vDC power supply</t>
  </si>
  <si>
    <t>48p, 2 C/F &amp; 1 DC</t>
  </si>
  <si>
    <t>96-port 10/100Base-TX (RJ45) plus 4-port 1000Base-T and 1000Base-X (SFP) with -48vDC power supply</t>
  </si>
  <si>
    <t>96p, 4 C/F &amp; DC</t>
  </si>
  <si>
    <t>Prem 24p, 2 C/F &amp; 1 AC</t>
  </si>
  <si>
    <t>Prem 48p, 2 C/F &amp; 1 AC</t>
  </si>
  <si>
    <t>Prem 96p, 4 C/F &amp; AC</t>
  </si>
  <si>
    <t>Prem 24p, 2 C/F &amp; 1 DC</t>
  </si>
  <si>
    <t>Prem 48p, 2 C/F &amp; 1 DC</t>
  </si>
  <si>
    <t>Prem 96p, 4 C/F &amp; DC</t>
  </si>
  <si>
    <t>12G C/F w 1 AC</t>
  </si>
  <si>
    <t>12G C/F w 1 DC</t>
  </si>
  <si>
    <t>12G C/F Prem w 1 AC</t>
  </si>
  <si>
    <t>12G C/F Prem w 1 DC</t>
  </si>
  <si>
    <t>POE 24p 2-GCF</t>
  </si>
  <si>
    <t>48 10/100B PoE, 2 SFP, 1 AC PS.</t>
  </si>
  <si>
    <t>POE L3 Prem</t>
  </si>
  <si>
    <t>L3 48 10/100B PoE, 2 SFP,  1 AC PS</t>
  </si>
  <si>
    <t>L3 Upgrade</t>
  </si>
  <si>
    <t>L3 upgrade</t>
  </si>
  <si>
    <t xml:space="preserve">L3 Upgrade </t>
  </si>
  <si>
    <t>220W, DC PS for FES &amp; FWS4802</t>
  </si>
  <si>
    <t>1000Base-LHB SFP optic, SMF, LC connector, 150km Maximum reach</t>
  </si>
  <si>
    <t>LHB SMF SFP LC</t>
  </si>
  <si>
    <t>1000Base-SX SFP optic, MMF, LC connector</t>
  </si>
  <si>
    <t>1000Base-SX MMF SFP LC</t>
  </si>
  <si>
    <t>1000Base-SX SFP optic, MMF, MTRJ connector</t>
  </si>
  <si>
    <t>1000Base-SX MMF SFP MTRJ</t>
  </si>
  <si>
    <t xml:space="preserve">1000Base-LHA SFP optic, SMF, LC connector </t>
  </si>
  <si>
    <t>1000Base-LX SMF SFP LC</t>
  </si>
  <si>
    <t xml:space="preserve">FGS624XGP includes 24-port 10/100/1000 that are PoE upgradeable with 4-port 100/1000 Combo copper/fiber, 1-port XFP 10GbE and one RPS. </t>
  </si>
  <si>
    <t xml:space="preserve">FGS624XGP-POE includes 24-port 10/100/1000 PoE with 4-port 100/1000 Combo copper/fiber, 1-port XFP 10GbE and one RPS. </t>
  </si>
  <si>
    <t>Cost</t>
  </si>
  <si>
    <t>Discount Category</t>
  </si>
  <si>
    <t>D</t>
  </si>
  <si>
    <t>EIF-CZ-73600</t>
  </si>
  <si>
    <t>EIF-CZ-97375</t>
  </si>
  <si>
    <t>EIF-A-64872</t>
  </si>
  <si>
    <t>EIF-CZ-48270</t>
  </si>
  <si>
    <t>EIF-CZ-66531</t>
  </si>
  <si>
    <t>10G-XF-75398</t>
  </si>
  <si>
    <t>10G-XF-96371</t>
  </si>
  <si>
    <t>10G-XF-92273</t>
  </si>
  <si>
    <t>E1M-SX-85914</t>
  </si>
  <si>
    <t>E1M-LX-85720</t>
  </si>
  <si>
    <t>E1M-LH-64896</t>
  </si>
  <si>
    <t>E1M-CW-32246</t>
  </si>
  <si>
    <t>E1M-CW-78899</t>
  </si>
  <si>
    <t>E1M-CW-72258</t>
  </si>
  <si>
    <t>E1M-CW-28966</t>
  </si>
  <si>
    <t>E1M-CW-36738</t>
  </si>
  <si>
    <t>E1M-CW-40232</t>
  </si>
  <si>
    <t>E1M-CW-28783</t>
  </si>
  <si>
    <t>E1M-CW-31995</t>
  </si>
  <si>
    <t>FES-CZ-51280</t>
  </si>
  <si>
    <t>FES-CZ-23915</t>
  </si>
  <si>
    <t>FES-CZ-65136</t>
  </si>
  <si>
    <t>FES-DC-62571</t>
  </si>
  <si>
    <t>FES-DC-25460</t>
  </si>
  <si>
    <t>FES-DC-59060</t>
  </si>
  <si>
    <t>FES-PR-77806</t>
  </si>
  <si>
    <t>FES-PR-91987</t>
  </si>
  <si>
    <t>FES-PR-88772</t>
  </si>
  <si>
    <t>FES-PR-27658</t>
  </si>
  <si>
    <t>FES-PR-84308</t>
  </si>
  <si>
    <t>FES-PR-78728</t>
  </si>
  <si>
    <t>FES-WL-42909</t>
  </si>
  <si>
    <t>FES-WL-97334</t>
  </si>
  <si>
    <t>FES-WL-57764</t>
  </si>
  <si>
    <t>FES-WL-69103</t>
  </si>
  <si>
    <t>FES-WL-85721</t>
  </si>
  <si>
    <t>FES-WL-84668</t>
  </si>
  <si>
    <t>FES-PO-81088</t>
  </si>
  <si>
    <t>FES-PO-24400</t>
  </si>
  <si>
    <t>FES-CZ-78088</t>
  </si>
  <si>
    <t>FES-CZ-44941</t>
  </si>
  <si>
    <t>FES-DC-92979</t>
  </si>
  <si>
    <t>FES-PR-63235</t>
  </si>
  <si>
    <t>FES-PR-76605</t>
  </si>
  <si>
    <t>FES-PO-55523</t>
  </si>
  <si>
    <t>FES-PO-31560</t>
  </si>
  <si>
    <t>FES-PO-48160</t>
  </si>
  <si>
    <t>FES-PO-81878</t>
  </si>
  <si>
    <t>FES-2-59994</t>
  </si>
  <si>
    <t>FES-4-97028</t>
  </si>
  <si>
    <t>FES-9-62605</t>
  </si>
  <si>
    <t>FES-L3-49697</t>
  </si>
  <si>
    <t>RPS-CZ-43868</t>
  </si>
  <si>
    <t>RPS-CZ-36179</t>
  </si>
  <si>
    <t>RPS-CZ-57361</t>
  </si>
  <si>
    <t>RPS-FE-30656</t>
  </si>
  <si>
    <t>RPS-18-67088</t>
  </si>
  <si>
    <t>E1M-LH-56790</t>
  </si>
  <si>
    <t>E1M-SX-53214</t>
  </si>
  <si>
    <t>E1M-SX-57975</t>
  </si>
  <si>
    <t>E1M-LH-78351</t>
  </si>
  <si>
    <t>FLS-CZ-80908</t>
  </si>
  <si>
    <t>FLS-CZ-46572</t>
  </si>
  <si>
    <t>FLS-1X-89837</t>
  </si>
  <si>
    <t>RPS-EI-54268</t>
  </si>
  <si>
    <t>E1M-10-77189</t>
  </si>
  <si>
    <t>E1M-10-51618</t>
  </si>
  <si>
    <t>E1M-10-31986</t>
  </si>
  <si>
    <t>E1M-10-81590</t>
  </si>
  <si>
    <t>E1M-10-75822</t>
  </si>
  <si>
    <t>E1M-TX-48613</t>
  </si>
  <si>
    <t>E1M-SX-91957</t>
  </si>
  <si>
    <t>E1M-SX-80687</t>
  </si>
  <si>
    <t>E1M-SX-82305</t>
  </si>
  <si>
    <t>E1M-LX-86809</t>
  </si>
  <si>
    <t>E1M-BX-64987</t>
  </si>
  <si>
    <t>E1M-BX-79394</t>
  </si>
  <si>
    <t>E1M-CW-44071</t>
  </si>
  <si>
    <t>E1M-CW-69358</t>
  </si>
  <si>
    <t>E1M-CW-67323</t>
  </si>
  <si>
    <t>E1M-CW-53176</t>
  </si>
  <si>
    <t>E1M-CW-89800</t>
  </si>
  <si>
    <t>E1M-CW-84985</t>
  </si>
  <si>
    <t>E1M-CW-35258</t>
  </si>
  <si>
    <t>E1M-CW-68120</t>
  </si>
  <si>
    <t>E1M-LH-99805</t>
  </si>
  <si>
    <t>E1M-LH-73354</t>
  </si>
  <si>
    <t>10G-XF-62661</t>
  </si>
  <si>
    <t>10G-XF-98155</t>
  </si>
  <si>
    <t>10G-XF-79897</t>
  </si>
  <si>
    <t>10G-XF-61433</t>
  </si>
  <si>
    <t>10G-XF-38648</t>
  </si>
  <si>
    <t>10G-XF-61812</t>
  </si>
  <si>
    <t>10G-XF-92047</t>
  </si>
  <si>
    <t>10G-XF-26000</t>
  </si>
  <si>
    <t>10G-XF-50777</t>
  </si>
  <si>
    <t>10G-XF-99668</t>
  </si>
  <si>
    <t>10G-XF-59709</t>
  </si>
  <si>
    <t>10G-XF-36643</t>
  </si>
  <si>
    <t>10G-XF-86769</t>
  </si>
  <si>
    <t>10G-XF-56484</t>
  </si>
  <si>
    <t>10G-XF-34035</t>
  </si>
  <si>
    <t>10G-XF-48318</t>
  </si>
  <si>
    <t>10G-XF-51192</t>
  </si>
  <si>
    <t>10G-XF-55593</t>
  </si>
  <si>
    <t>10G-XF-82036</t>
  </si>
  <si>
    <t>10G-XF-35599</t>
  </si>
  <si>
    <t>10G-XF-77525</t>
  </si>
  <si>
    <t>10G-XF-94223</t>
  </si>
  <si>
    <t>10G-XF-58211</t>
  </si>
  <si>
    <t>10G-XF-86147</t>
  </si>
  <si>
    <t>10G-XF-63500</t>
  </si>
  <si>
    <t>10G-XF-47148</t>
  </si>
  <si>
    <t>10G-XF-34351</t>
  </si>
  <si>
    <t>10G-XF-50242</t>
  </si>
  <si>
    <t>10G-XF-56595</t>
  </si>
  <si>
    <t>10G-XF-95499</t>
  </si>
  <si>
    <t>10G-XF-83512</t>
  </si>
  <si>
    <t>10G-XF-24498</t>
  </si>
  <si>
    <t>10G-XF-32043</t>
  </si>
  <si>
    <t>10G-XF-60676</t>
  </si>
  <si>
    <t>10G-XF-52548</t>
  </si>
  <si>
    <t>10G-XF-34421</t>
  </si>
  <si>
    <t>10G-XF-43687</t>
  </si>
  <si>
    <t>10G-XF-36720</t>
  </si>
  <si>
    <t>10G-XF-40701</t>
  </si>
  <si>
    <t>10G-XF-88654</t>
  </si>
  <si>
    <t>10G-XF-89147</t>
  </si>
  <si>
    <t>10G-XF-63068</t>
  </si>
  <si>
    <t>10G-XF-83363</t>
  </si>
  <si>
    <t>10G-XF-53315</t>
  </si>
  <si>
    <t>10G-XF-59817</t>
  </si>
  <si>
    <t>10G-XF-60274</t>
  </si>
  <si>
    <t>PCC-IE-69096</t>
  </si>
  <si>
    <t>FGS-CZ-89899</t>
  </si>
  <si>
    <t>FGS-DC-83646</t>
  </si>
  <si>
    <t>FGS-PO-78490</t>
  </si>
  <si>
    <t>FGS-PO-44567</t>
  </si>
  <si>
    <t>FGS-CZ-59159</t>
  </si>
  <si>
    <t>FGS-PO-25333</t>
  </si>
  <si>
    <t>FGS-CZ-41478</t>
  </si>
  <si>
    <t>FGS-DC-80987</t>
  </si>
  <si>
    <t>FGS-PO-43720</t>
  </si>
  <si>
    <t>FGS-PO-76847</t>
  </si>
  <si>
    <t>FGS-24-41813</t>
  </si>
  <si>
    <t>FGS-2X-33711</t>
  </si>
  <si>
    <t>FGS-2X-50345</t>
  </si>
  <si>
    <t>FGS-1X-44518</t>
  </si>
  <si>
    <t>RPS-FG-63218</t>
  </si>
  <si>
    <t>RPS-FG-33746</t>
  </si>
  <si>
    <t>RPS-18-39014</t>
  </si>
  <si>
    <t>FGS-LB-59518</t>
  </si>
  <si>
    <t>CAB-CX-65607</t>
  </si>
  <si>
    <t>E1M-10-41963</t>
  </si>
  <si>
    <t>E1M-10-37646</t>
  </si>
  <si>
    <t>E1M-10-78300</t>
  </si>
  <si>
    <t>E1M-10-53741</t>
  </si>
  <si>
    <t>E1M-10-44019</t>
  </si>
  <si>
    <t>E1M-TX-48260</t>
  </si>
  <si>
    <t>E1M-SX-65408</t>
  </si>
  <si>
    <t>E1M-SX-98915</t>
  </si>
  <si>
    <t>E1M-SX-38762</t>
  </si>
  <si>
    <t>E1M-LX-64681</t>
  </si>
  <si>
    <t>E1M-BX-86831</t>
  </si>
  <si>
    <t>E1M-BX-72699</t>
  </si>
  <si>
    <t>E1M-CW-57377</t>
  </si>
  <si>
    <t>E1M-CW-49028</t>
  </si>
  <si>
    <t>E1M-CW-73514</t>
  </si>
  <si>
    <t>E1M-CW-51835</t>
  </si>
  <si>
    <t>E1M-CW-45986</t>
  </si>
  <si>
    <t>E1M-CW-62118</t>
  </si>
  <si>
    <t>E1M-CW-93491</t>
  </si>
  <si>
    <t>E1M-LH-42878</t>
  </si>
  <si>
    <t>E1M-LH-34963</t>
  </si>
  <si>
    <t>10G-XF-44977</t>
  </si>
  <si>
    <t>10G-XF-77673</t>
  </si>
  <si>
    <t>10G-XF-55983</t>
  </si>
  <si>
    <t>10G-XF-57949</t>
  </si>
  <si>
    <t>10G-XF-69040</t>
  </si>
  <si>
    <t>10G-XF-89898</t>
  </si>
  <si>
    <t>10G-XF-52881</t>
  </si>
  <si>
    <t>10G-XF-93631</t>
  </si>
  <si>
    <t>10G-XF-79463</t>
  </si>
  <si>
    <t>10G-XF-55959</t>
  </si>
  <si>
    <t>10G-XF-50615</t>
  </si>
  <si>
    <t>10G-XF-69273</t>
  </si>
  <si>
    <t>10G-XF-31951</t>
  </si>
  <si>
    <t>10G-XF-85850</t>
  </si>
  <si>
    <t>10G-XF-35929</t>
  </si>
  <si>
    <t>10G-XF-27983</t>
  </si>
  <si>
    <t>10G-XF-90726</t>
  </si>
  <si>
    <t>10G-XF-54418</t>
  </si>
  <si>
    <t>10G-XF-69442</t>
  </si>
  <si>
    <t>10G-XF-50864</t>
  </si>
  <si>
    <t>10G-XF-52460</t>
  </si>
  <si>
    <t>10G-XF-32313</t>
  </si>
  <si>
    <t>10G-XF-80304</t>
  </si>
  <si>
    <t>10G-XF-89633</t>
  </si>
  <si>
    <t>10G-XF-67863</t>
  </si>
  <si>
    <t>10G-XF-76037</t>
  </si>
  <si>
    <t>10G-XF-23868</t>
  </si>
  <si>
    <t>10G-XF-71218</t>
  </si>
  <si>
    <t>10G-XF-73800</t>
  </si>
  <si>
    <t>10G-XF-73276</t>
  </si>
  <si>
    <t>10G-XF-89495</t>
  </si>
  <si>
    <t>10G-XF-45358</t>
  </si>
  <si>
    <t>10G-XF-31993</t>
  </si>
  <si>
    <t>10G-XF-54684</t>
  </si>
  <si>
    <t>10G-XF-48141</t>
  </si>
  <si>
    <t>10G-XF-29195</t>
  </si>
  <si>
    <t>10G-XF-34947</t>
  </si>
  <si>
    <t>10G-XF-93529</t>
  </si>
  <si>
    <t>10G-XF-82984</t>
  </si>
  <si>
    <t>10G-XF-34004</t>
  </si>
  <si>
    <t>10G-XF-31439</t>
  </si>
  <si>
    <t>10G-XF-65137</t>
  </si>
  <si>
    <t>10G-XF-95664</t>
  </si>
  <si>
    <t>10G-XF-48647</t>
  </si>
  <si>
    <t>10G-XF-59120</t>
  </si>
  <si>
    <t>10G-XF-31128</t>
  </si>
  <si>
    <t>FES-CZ-77317</t>
  </si>
  <si>
    <t>FES-PR-63866</t>
  </si>
  <si>
    <t>FES-DC-98050</t>
  </si>
  <si>
    <t>FES-PR-97582</t>
  </si>
  <si>
    <t>FES-CZ-96788</t>
  </si>
  <si>
    <t>FES-PR-70742</t>
  </si>
  <si>
    <t>FES-DC-93858</t>
  </si>
  <si>
    <t>FES-PR-91368</t>
  </si>
  <si>
    <t>FES-CZ-48879</t>
  </si>
  <si>
    <t>FES-PR-68068</t>
  </si>
  <si>
    <t>FES-DC-47890</t>
  </si>
  <si>
    <t>FES-PR-93670</t>
  </si>
  <si>
    <t>FES-CZ-95067</t>
  </si>
  <si>
    <t>FES-PR-40884</t>
  </si>
  <si>
    <t>FES-DC-91416</t>
  </si>
  <si>
    <t>FES-PR-31075</t>
  </si>
  <si>
    <t>FES-CZ-72188</t>
  </si>
  <si>
    <t>FES-DC-58445</t>
  </si>
  <si>
    <t>FES-PR-87271</t>
  </si>
  <si>
    <t>FES-PR-34683</t>
  </si>
  <si>
    <t>FES-CZ-42889</t>
  </si>
  <si>
    <t>FES-PR-53042</t>
  </si>
  <si>
    <t>FES-DC-76743</t>
  </si>
  <si>
    <t>FES-PR-30464</t>
  </si>
  <si>
    <t>FES-CZ-84569</t>
  </si>
  <si>
    <t>FES-PR-66481</t>
  </si>
  <si>
    <t>FES-DC-24055</t>
  </si>
  <si>
    <t>FES-PR-91541</t>
  </si>
  <si>
    <t>FES-CZ-24865</t>
  </si>
  <si>
    <t>FES-PR-89925</t>
  </si>
  <si>
    <t>FES-DC-26340</t>
  </si>
  <si>
    <t>FES-PR-80143</t>
  </si>
  <si>
    <t>FES-CZ-74610</t>
  </si>
  <si>
    <t>FES-PR-29019</t>
  </si>
  <si>
    <t>FES-DC-75802</t>
  </si>
  <si>
    <t>FES-PR-33661</t>
  </si>
  <si>
    <t>FES-PO-95786</t>
  </si>
  <si>
    <t>FES-PO-30227</t>
  </si>
  <si>
    <t>FES-PO-31559</t>
  </si>
  <si>
    <t>FES-PO-54145</t>
  </si>
  <si>
    <t>FES-PO-32835</t>
  </si>
  <si>
    <t>FES-PO-69985</t>
  </si>
  <si>
    <t>FES-PO-35178</t>
  </si>
  <si>
    <t>FES-PO-60693</t>
  </si>
  <si>
    <t>FES-PO-49423</t>
  </si>
  <si>
    <t>FES-PO-96105</t>
  </si>
  <si>
    <t>FES-PO-68961</t>
  </si>
  <si>
    <t>FES-PO-96020</t>
  </si>
  <si>
    <t>X4--1X-30218</t>
  </si>
  <si>
    <t>X4--2X-90449</t>
  </si>
  <si>
    <t>FES-L3-82943</t>
  </si>
  <si>
    <t>FES-L3-80005</t>
  </si>
  <si>
    <t>RPS-X4-83939</t>
  </si>
  <si>
    <t>RPS-X4-56884</t>
  </si>
  <si>
    <t>RPS-X4-45786</t>
  </si>
  <si>
    <t>RPS-X4-71566</t>
  </si>
  <si>
    <t>RPS-X4-45389</t>
  </si>
  <si>
    <t>RPS-18-66586</t>
  </si>
  <si>
    <t>10G-XF-52039</t>
  </si>
  <si>
    <t>10G-XF-25116</t>
  </si>
  <si>
    <t>10G-XF-97252</t>
  </si>
  <si>
    <t>10G-XF-66756</t>
  </si>
  <si>
    <t>10G-XF-90292</t>
  </si>
  <si>
    <t>10G-XF-91282</t>
  </si>
  <si>
    <t>10G-XF-92201</t>
  </si>
  <si>
    <t>10G-XF-86639</t>
  </si>
  <si>
    <t>10G-XF-47979</t>
  </si>
  <si>
    <t>10G-XF-99152</t>
  </si>
  <si>
    <t>10G-XF-49089</t>
  </si>
  <si>
    <t>10G-XF-70154</t>
  </si>
  <si>
    <t>10G-XF-66056</t>
  </si>
  <si>
    <t>10G-XF-52488</t>
  </si>
  <si>
    <t>10G-XF-45665</t>
  </si>
  <si>
    <t>10G-XF-86109</t>
  </si>
  <si>
    <t>10G-XF-66178</t>
  </si>
  <si>
    <t>10G-XF-26498</t>
  </si>
  <si>
    <t>10G-XF-32439</t>
  </si>
  <si>
    <t>10G-XF-94264</t>
  </si>
  <si>
    <t>10G-XF-66191</t>
  </si>
  <si>
    <t>10G-XF-36599</t>
  </si>
  <si>
    <t>10G-XF-27034</t>
  </si>
  <si>
    <t>10G-XF-45808</t>
  </si>
  <si>
    <t>10G-XF-42513</t>
  </si>
  <si>
    <t>10G-XF-75482</t>
  </si>
  <si>
    <t>10G-XF-25523</t>
  </si>
  <si>
    <t>10G-XF-88299</t>
  </si>
  <si>
    <t>10G-XF-80111</t>
  </si>
  <si>
    <t>10G-XF-84828</t>
  </si>
  <si>
    <t>10G-XF-62603</t>
  </si>
  <si>
    <t>10G-XF-58393</t>
  </si>
  <si>
    <t>10G-XF-79316</t>
  </si>
  <si>
    <t>10G-XF-32062</t>
  </si>
  <si>
    <t>10G-XF-75438</t>
  </si>
  <si>
    <t>10G-XF-66297</t>
  </si>
  <si>
    <t>10G-XF-49528</t>
  </si>
  <si>
    <t>10G-XF-89663</t>
  </si>
  <si>
    <t>10G-XF-70252</t>
  </si>
  <si>
    <t>10G-XF-58097</t>
  </si>
  <si>
    <t>10G-XF-32899</t>
  </si>
  <si>
    <t>10G-XF-91764</t>
  </si>
  <si>
    <t>10G-XF-70689</t>
  </si>
  <si>
    <t>10G-XF-64583</t>
  </si>
  <si>
    <t>10G-XF-71245</t>
  </si>
  <si>
    <t>E1M-LX-64839</t>
  </si>
  <si>
    <t>E1M-SX-63109</t>
  </si>
  <si>
    <t>E1M-TX-35816</t>
  </si>
  <si>
    <t>E1M-LH-47694</t>
  </si>
  <si>
    <t>E1M-LH-37546</t>
  </si>
  <si>
    <t>E1M-CW-34427</t>
  </si>
  <si>
    <t>E1M-CW-64134</t>
  </si>
  <si>
    <t>E1M-CW-34074</t>
  </si>
  <si>
    <t>E1M-CW-90492</t>
  </si>
  <si>
    <t>E1M-CW-44737</t>
  </si>
  <si>
    <t>E1M-CW-99959</t>
  </si>
  <si>
    <t>E1M-CW-60205</t>
  </si>
  <si>
    <t>E1M-CW-94301</t>
  </si>
  <si>
    <t>E1M-BX-68494</t>
  </si>
  <si>
    <t>E1M-BX-42304</t>
  </si>
  <si>
    <t>E1M-10-79314</t>
  </si>
  <si>
    <t>E1M-10-76244</t>
  </si>
  <si>
    <t>E1M-10-86032</t>
  </si>
  <si>
    <t>E1M-SX-61686</t>
  </si>
  <si>
    <t>E1M-10-37429</t>
  </si>
  <si>
    <t>E1M-10-79861</t>
  </si>
  <si>
    <t>FWS-CZ-50334</t>
  </si>
  <si>
    <t>FWS-DC-40691</t>
  </si>
  <si>
    <t>FWS-CZ-92019</t>
  </si>
  <si>
    <t>FWS-DC-85106</t>
  </si>
  <si>
    <t>FWS-CZ-57157</t>
  </si>
  <si>
    <t>FWS-DC-25572</t>
  </si>
  <si>
    <t>FWS-CZ-40464</t>
  </si>
  <si>
    <t>FWS-DC-84745</t>
  </si>
  <si>
    <t>FWS-CZ-66910</t>
  </si>
  <si>
    <t>FWS-DC-39889</t>
  </si>
  <si>
    <t>FWS-CZ-78644</t>
  </si>
  <si>
    <t>FWS-DC-58292</t>
  </si>
  <si>
    <t>X4--1X-36590</t>
  </si>
  <si>
    <t>X4--2X-58771</t>
  </si>
  <si>
    <t>RPS-X4-65842</t>
  </si>
  <si>
    <t>RPS-X4-86385</t>
  </si>
  <si>
    <t>RPS-X4-90704</t>
  </si>
  <si>
    <t>RPS-X4-26549</t>
  </si>
  <si>
    <t>RPS-18-67744</t>
  </si>
  <si>
    <t>10G-XF-53397</t>
  </si>
  <si>
    <t>10G-XF-36295</t>
  </si>
  <si>
    <t>10G-XF-69806</t>
  </si>
  <si>
    <t>10G-XF-52168</t>
  </si>
  <si>
    <t>10G-XF-46007</t>
  </si>
  <si>
    <t>10G-XF-95800</t>
  </si>
  <si>
    <t>10G-XF-26942</t>
  </si>
  <si>
    <t>10G-XF-83549</t>
  </si>
  <si>
    <t>10G-XF-90229</t>
  </si>
  <si>
    <t>10G-XF-85318</t>
  </si>
  <si>
    <t>10G-XF-33127</t>
  </si>
  <si>
    <t>10G-XF-38897</t>
  </si>
  <si>
    <t>10G-XF-24529</t>
  </si>
  <si>
    <t>10G-XF-56409</t>
  </si>
  <si>
    <t>10G-XF-64344</t>
  </si>
  <si>
    <t>10G-XF-49313</t>
  </si>
  <si>
    <t>10G-XF-89190</t>
  </si>
  <si>
    <t>10G-XF-78760</t>
  </si>
  <si>
    <t>10G-XF-88018</t>
  </si>
  <si>
    <t>10G-XF-45152</t>
  </si>
  <si>
    <t>10G-XF-27019</t>
  </si>
  <si>
    <t>10G-XF-26738</t>
  </si>
  <si>
    <t>10G-XF-39660</t>
  </si>
  <si>
    <t>10G-XF-50127</t>
  </si>
  <si>
    <t>10G-XF-49914</t>
  </si>
  <si>
    <t>10G-XF-48222</t>
  </si>
  <si>
    <t>10G-XF-63321</t>
  </si>
  <si>
    <t>10G-XF-27841</t>
  </si>
  <si>
    <t>10G-XF-52302</t>
  </si>
  <si>
    <t>10G-XF-38452</t>
  </si>
  <si>
    <t>10G-XF-51456</t>
  </si>
  <si>
    <t>10G-XF-94163</t>
  </si>
  <si>
    <t>10G-XF-23702</t>
  </si>
  <si>
    <t>10G-XF-38393</t>
  </si>
  <si>
    <t>10G-XF-49243</t>
  </si>
  <si>
    <t>10G-XF-34245</t>
  </si>
  <si>
    <t>10G-XF-28563</t>
  </si>
  <si>
    <t>10G-XF-41714</t>
  </si>
  <si>
    <t>10G-XF-59239</t>
  </si>
  <si>
    <t>10G-XF-38272</t>
  </si>
  <si>
    <t>10G-XF-58669</t>
  </si>
  <si>
    <t>10G-XF-43643</t>
  </si>
  <si>
    <t>10G-XF-88780</t>
  </si>
  <si>
    <t>10G-XF-75241</t>
  </si>
  <si>
    <t>10G-XF-33220</t>
  </si>
  <si>
    <t>E1M-LX-78808</t>
  </si>
  <si>
    <t>E1M-SX-38997</t>
  </si>
  <si>
    <t>E1M-TX-96543</t>
  </si>
  <si>
    <t>E1M-LH-93459</t>
  </si>
  <si>
    <t>E1M-LH-85791</t>
  </si>
  <si>
    <t>E1M-CW-55473</t>
  </si>
  <si>
    <t>E1M-CW-85988</t>
  </si>
  <si>
    <t>E1M-CW-62505</t>
  </si>
  <si>
    <t>E1M-CW-65356</t>
  </si>
  <si>
    <t>E1M-CW-45522</t>
  </si>
  <si>
    <t>E1M-CW-72383</t>
  </si>
  <si>
    <t>E1M-CW-61461</t>
  </si>
  <si>
    <t>E1M-CW-52978</t>
  </si>
  <si>
    <t>FI--SX-97698</t>
  </si>
  <si>
    <t>FI--SX-67300</t>
  </si>
  <si>
    <t>FI--SX-68236</t>
  </si>
  <si>
    <t>FI--SX-83557</t>
  </si>
  <si>
    <t>FI--SX-40752</t>
  </si>
  <si>
    <t>FI--SX-31526</t>
  </si>
  <si>
    <t>FI--SX-34896</t>
  </si>
  <si>
    <t>FI--SX-30407</t>
  </si>
  <si>
    <t>FI--SX-31088</t>
  </si>
  <si>
    <t>FI--SX-63391</t>
  </si>
  <si>
    <t>FI--SX-47113</t>
  </si>
  <si>
    <t>FI--SX-75037</t>
  </si>
  <si>
    <t>FI--SX-46698</t>
  </si>
  <si>
    <t>FI--SX-32859</t>
  </si>
  <si>
    <t>SX--FI-76646</t>
  </si>
  <si>
    <t>SX--FI-51870</t>
  </si>
  <si>
    <t>SX--FI-67712</t>
  </si>
  <si>
    <t>SX--FI-39197</t>
  </si>
  <si>
    <t>SX--FI-30081</t>
  </si>
  <si>
    <t>SX--FI-96655</t>
  </si>
  <si>
    <t>SX--FI-31780</t>
  </si>
  <si>
    <t>SX--FI-36091</t>
  </si>
  <si>
    <t>SX--FI-61149</t>
  </si>
  <si>
    <t>SX--FI-63921</t>
  </si>
  <si>
    <t>SX--FI-45323</t>
  </si>
  <si>
    <t>SX--FI-95237</t>
  </si>
  <si>
    <t>SX--FI-85241</t>
  </si>
  <si>
    <t>SX--FI-92529</t>
  </si>
  <si>
    <t>SX--FI-91956</t>
  </si>
  <si>
    <t>SX--FI-90397</t>
  </si>
  <si>
    <t>SX--FI-70603</t>
  </si>
  <si>
    <t>SX--24-44965</t>
  </si>
  <si>
    <t>SX--AC-54182</t>
  </si>
  <si>
    <t>SX--DC-24139</t>
  </si>
  <si>
    <t>SX--AC-71338</t>
  </si>
  <si>
    <t>SX--DC-36556</t>
  </si>
  <si>
    <t>SX--AC-25737</t>
  </si>
  <si>
    <t>SX--PC-40508</t>
  </si>
  <si>
    <t>10G-XF-42287</t>
  </si>
  <si>
    <t>10G-XF-87968</t>
  </si>
  <si>
    <t>10G-XF-93212</t>
  </si>
  <si>
    <t>10G-XF-72556</t>
  </si>
  <si>
    <t>10G-XF-84888</t>
  </si>
  <si>
    <t>10G-XF-39545</t>
  </si>
  <si>
    <t>10G-XF-41933</t>
  </si>
  <si>
    <t>10G-XF-66690</t>
  </si>
  <si>
    <t>10G-XF-48673</t>
  </si>
  <si>
    <t>10G-XF-44817</t>
  </si>
  <si>
    <t>10G-XF-47654</t>
  </si>
  <si>
    <t>10G-XF-64348</t>
  </si>
  <si>
    <t>10G-XF-86446</t>
  </si>
  <si>
    <t>10G-XF-82814</t>
  </si>
  <si>
    <t>10G-XF-43282</t>
  </si>
  <si>
    <t>10G-XF-76230</t>
  </si>
  <si>
    <t>10G-XF-34281</t>
  </si>
  <si>
    <t>10G-XF-76193</t>
  </si>
  <si>
    <t>10G-XF-30533</t>
  </si>
  <si>
    <t>10G-XF-95650</t>
  </si>
  <si>
    <t>10G-XF-51794</t>
  </si>
  <si>
    <t>10G-XF-70973</t>
  </si>
  <si>
    <t>10G-XF-51133</t>
  </si>
  <si>
    <t>10G-XF-31568</t>
  </si>
  <si>
    <t>10G-XF-29371</t>
  </si>
  <si>
    <t>10G-XF-88087</t>
  </si>
  <si>
    <t>10G-XF-81158</t>
  </si>
  <si>
    <t>10G-XF-54150</t>
  </si>
  <si>
    <t>10G-XF-46467</t>
  </si>
  <si>
    <t>10G-XF-31015</t>
  </si>
  <si>
    <t>10G-XF-73991</t>
  </si>
  <si>
    <t>10G-XF-25186</t>
  </si>
  <si>
    <t>10G-XF-53807</t>
  </si>
  <si>
    <t>10G-XF-65400</t>
  </si>
  <si>
    <t>10G-XF-62532</t>
  </si>
  <si>
    <t>10G-XF-43214</t>
  </si>
  <si>
    <t>10G-XF-67541</t>
  </si>
  <si>
    <t>10G-XF-76059</t>
  </si>
  <si>
    <t>10G-XF-74582</t>
  </si>
  <si>
    <t>10G-XF-80488</t>
  </si>
  <si>
    <t>10G-XF-83089</t>
  </si>
  <si>
    <t>10G-XF-81973</t>
  </si>
  <si>
    <t>10G-XF-42846</t>
  </si>
  <si>
    <t>10G-XF-90226</t>
  </si>
  <si>
    <t>10G-XF-99231</t>
  </si>
  <si>
    <t>E1M-LX-71138</t>
  </si>
  <si>
    <t>E1M-SX-46099</t>
  </si>
  <si>
    <t>E1M-TX-93234</t>
  </si>
  <si>
    <t>E1M-10-67480</t>
  </si>
  <si>
    <t>E1M-10-89286</t>
  </si>
  <si>
    <t>E1M-LH-39094</t>
  </si>
  <si>
    <t>E1M-LH-28903</t>
  </si>
  <si>
    <t>E1M-CW-46686</t>
  </si>
  <si>
    <t>E1M-CW-75393</t>
  </si>
  <si>
    <t>E1M-CW-69583</t>
  </si>
  <si>
    <t>E1M-CW-62567</t>
  </si>
  <si>
    <t>E1M-CW-49534</t>
  </si>
  <si>
    <t>E1M-CW-54373</t>
  </si>
  <si>
    <t>E1M-CW-63381</t>
  </si>
  <si>
    <t>E1M-CW-85593</t>
  </si>
  <si>
    <t>E1M-BX-79986</t>
  </si>
  <si>
    <t>E1M-BX-69055</t>
  </si>
  <si>
    <t>E1M-SX-41897</t>
  </si>
  <si>
    <t>SX--FI-88478</t>
  </si>
  <si>
    <t>FI--SX-60716</t>
  </si>
  <si>
    <t>FI--SX-95252</t>
  </si>
  <si>
    <t>SX--FI-94911</t>
  </si>
  <si>
    <t>SX--PW-93274</t>
  </si>
  <si>
    <t>SX--FI-74142</t>
  </si>
  <si>
    <t>SX--SX-29743</t>
  </si>
  <si>
    <t>SX--SX-70152</t>
  </si>
  <si>
    <t>SX--SX-35018</t>
  </si>
  <si>
    <t>SX--FI-72233</t>
  </si>
  <si>
    <t>IP--MC-59523</t>
  </si>
  <si>
    <t>IP--MC-31918</t>
  </si>
  <si>
    <t>IP--MC-93021</t>
  </si>
  <si>
    <t>IP--MC-41102</t>
  </si>
  <si>
    <t>IP--MC-87986</t>
  </si>
  <si>
    <t>IP--MC-77986</t>
  </si>
  <si>
    <t>IP--MC-27945</t>
  </si>
  <si>
    <t>IP--MC-79951</t>
  </si>
  <si>
    <t>IP--MA-78598</t>
  </si>
  <si>
    <t>IP--MA-57070</t>
  </si>
  <si>
    <t>IP--MA-85086</t>
  </si>
  <si>
    <t>IP--RS-41669</t>
  </si>
  <si>
    <t>IP--RS-70740</t>
  </si>
  <si>
    <t>IP--AC-51853</t>
  </si>
  <si>
    <t>IP--AC-24288</t>
  </si>
  <si>
    <t>IP--AC-31038</t>
  </si>
  <si>
    <t>IP--AC-78904</t>
  </si>
  <si>
    <t>IP--AC-66785</t>
  </si>
  <si>
    <t>IP--AC-65176</t>
  </si>
  <si>
    <t>IP--AC-63954</t>
  </si>
  <si>
    <t>IP--AC-43623</t>
  </si>
  <si>
    <t>IP--AP-72617</t>
  </si>
  <si>
    <t>IP--AP-40785</t>
  </si>
  <si>
    <t>IP--WL-34735</t>
  </si>
  <si>
    <t>IP2-US-53768</t>
  </si>
  <si>
    <t>IP2-CA-55991</t>
  </si>
  <si>
    <t>IP2-IL-57657</t>
  </si>
  <si>
    <t>IP2-JP-83463</t>
  </si>
  <si>
    <t>IP2-NZ-30707</t>
  </si>
  <si>
    <t>IP2-XX-25226</t>
  </si>
  <si>
    <t>IP--OD-59928</t>
  </si>
  <si>
    <t>IP--DP-28496</t>
  </si>
  <si>
    <t>FIP-10-58337</t>
  </si>
  <si>
    <t>FIP-60-62607</t>
  </si>
  <si>
    <t>FIP-60-30344</t>
  </si>
  <si>
    <t>BI--RX-80119</t>
  </si>
  <si>
    <t>BI--RX-43530</t>
  </si>
  <si>
    <t>BI--RX-80785</t>
  </si>
  <si>
    <t>BI--RX-56607</t>
  </si>
  <si>
    <t>BI--RX-42668</t>
  </si>
  <si>
    <t>BI--RX-34614</t>
  </si>
  <si>
    <t>RX--BI-99958</t>
  </si>
  <si>
    <t>RX--BI-76525</t>
  </si>
  <si>
    <t>RX--BI-68606</t>
  </si>
  <si>
    <t>RX--BI-32280</t>
  </si>
  <si>
    <t>RX--BI-25868</t>
  </si>
  <si>
    <t>RX--BI-66560</t>
  </si>
  <si>
    <t>RX--AC-64001</t>
  </si>
  <si>
    <t>RX--AC-82397</t>
  </si>
  <si>
    <t>RX--DC-76496</t>
  </si>
  <si>
    <t>RX--DC-62135</t>
  </si>
  <si>
    <t>RX--BI-54209</t>
  </si>
  <si>
    <t>RX--BI-63971</t>
  </si>
  <si>
    <t>RX--BI-62687</t>
  </si>
  <si>
    <t>RX--BI-46203</t>
  </si>
  <si>
    <t>RX--BI-63309</t>
  </si>
  <si>
    <t>RX--BI-75086</t>
  </si>
  <si>
    <t>10G-XF-31611</t>
  </si>
  <si>
    <t>10G-XF-85335</t>
  </si>
  <si>
    <t>10G-XF-87510</t>
  </si>
  <si>
    <t>10G-XF-84964</t>
  </si>
  <si>
    <t>10G-XF-35258</t>
  </si>
  <si>
    <t>10G-XF-41771</t>
  </si>
  <si>
    <t>10G-XF-45582</t>
  </si>
  <si>
    <t>10G-XF-44039</t>
  </si>
  <si>
    <t>10G-XF-40847</t>
  </si>
  <si>
    <t>10G-XF-25093</t>
  </si>
  <si>
    <t>10G-XF-54988</t>
  </si>
  <si>
    <t>10G-XF-41316</t>
  </si>
  <si>
    <t>10G-XF-48409</t>
  </si>
  <si>
    <t>10G-XF-68654</t>
  </si>
  <si>
    <t>10G-XF-88943</t>
  </si>
  <si>
    <t>10G-XF-71931</t>
  </si>
  <si>
    <t>10G-XF-83718</t>
  </si>
  <si>
    <t>10G-XF-75007</t>
  </si>
  <si>
    <t>10G-XF-46912</t>
  </si>
  <si>
    <t>10G-XF-86321</t>
  </si>
  <si>
    <t>10G-XF-85190</t>
  </si>
  <si>
    <t>10G-XF-64645</t>
  </si>
  <si>
    <t>10G-XF-35324</t>
  </si>
  <si>
    <t>10G-XF-68028</t>
  </si>
  <si>
    <t>10G-XF-29165</t>
  </si>
  <si>
    <t>10G-XF-60464</t>
  </si>
  <si>
    <t>10G-XF-71876</t>
  </si>
  <si>
    <t>10G-XF-67283</t>
  </si>
  <si>
    <t>10G-XF-70638</t>
  </si>
  <si>
    <t>10G-XF-26748</t>
  </si>
  <si>
    <t>10G-XF-77207</t>
  </si>
  <si>
    <t>10G-XF-31610</t>
  </si>
  <si>
    <t>10G-XF-35519</t>
  </si>
  <si>
    <t>10G-XF-77960</t>
  </si>
  <si>
    <t>10G-XF-63464</t>
  </si>
  <si>
    <t>10G-XF-49388</t>
  </si>
  <si>
    <t>10G-XF-35661</t>
  </si>
  <si>
    <t>10G-XF-46436</t>
  </si>
  <si>
    <t>10G-XF-76285</t>
  </si>
  <si>
    <t>10G-XF-52271</t>
  </si>
  <si>
    <t>10G-XF-98638</t>
  </si>
  <si>
    <t>10G-XF-36504</t>
  </si>
  <si>
    <t>10G-XF-83036</t>
  </si>
  <si>
    <t>10G-XF-49479</t>
  </si>
  <si>
    <t>10G-XF-67812</t>
  </si>
  <si>
    <t>E1M-TX-33870</t>
  </si>
  <si>
    <t>E1M-SX-58280</t>
  </si>
  <si>
    <t>E1M-SX-64925</t>
  </si>
  <si>
    <t>E1M-LX-76625</t>
  </si>
  <si>
    <t>E1M-LH-62560</t>
  </si>
  <si>
    <t>E1M-LH-85412</t>
  </si>
  <si>
    <t>E1M-CW-47512</t>
  </si>
  <si>
    <t>E1M-CW-65768</t>
  </si>
  <si>
    <t>E1M-CW-67109</t>
  </si>
  <si>
    <t>E1M-CW-84861</t>
  </si>
  <si>
    <t>E1M-CW-93485</t>
  </si>
  <si>
    <t>E1M-CW-30833</t>
  </si>
  <si>
    <t>E1M-CW-38322</t>
  </si>
  <si>
    <t>E1M-CW-88727</t>
  </si>
  <si>
    <t>E1M-BX-73673</t>
  </si>
  <si>
    <t>E1M-BX-81767</t>
  </si>
  <si>
    <t>E1M-SX-53744</t>
  </si>
  <si>
    <t>E1M-10-86629</t>
  </si>
  <si>
    <t>E1M-10-54326</t>
  </si>
  <si>
    <t>E1M-10-32724</t>
  </si>
  <si>
    <t>BI--RX-29953</t>
  </si>
  <si>
    <t>BI--RX-74105</t>
  </si>
  <si>
    <t>BI--RX-84007</t>
  </si>
  <si>
    <t>BI--RX-35972</t>
  </si>
  <si>
    <t>BI--RX-38459</t>
  </si>
  <si>
    <t>BI--RX-31269</t>
  </si>
  <si>
    <t>BI--RX-68013</t>
  </si>
  <si>
    <t>RX--BI-69034</t>
  </si>
  <si>
    <t>RX--BI-32520</t>
  </si>
  <si>
    <t>RX--BI-59938</t>
  </si>
  <si>
    <t>RX--BI-44330</t>
  </si>
  <si>
    <t>RX--PW-32108</t>
  </si>
  <si>
    <t>RX--PW-69474</t>
  </si>
  <si>
    <t>FLA-PC-73689</t>
  </si>
  <si>
    <t>B40-CZ-53386</t>
  </si>
  <si>
    <t>B40-DC-56217</t>
  </si>
  <si>
    <t>B40-S-38545</t>
  </si>
  <si>
    <t>B80-CZ-27563</t>
  </si>
  <si>
    <t>B80-DC-36012</t>
  </si>
  <si>
    <t>B80-S-67181</t>
  </si>
  <si>
    <t>B15-CZ-69525</t>
  </si>
  <si>
    <t>B15-DC-97861</t>
  </si>
  <si>
    <t>B15-S-56981</t>
  </si>
  <si>
    <t>RPS-CZ-88312</t>
  </si>
  <si>
    <t>RPS-CZ-65004</t>
  </si>
  <si>
    <t>RPS-CZ-41898</t>
  </si>
  <si>
    <t>RPS-CZ-78182</t>
  </si>
  <si>
    <t>RPS-CZ-80504</t>
  </si>
  <si>
    <t>RPS-PO-54728</t>
  </si>
  <si>
    <t>J-B-B2-52067</t>
  </si>
  <si>
    <t>J-B-B2-96547</t>
  </si>
  <si>
    <t>J-B-B2-33194</t>
  </si>
  <si>
    <t>J-B-B4-60134</t>
  </si>
  <si>
    <t>J-B-B4-58586</t>
  </si>
  <si>
    <t>J-B-B1-44093</t>
  </si>
  <si>
    <t>J-B-Bx-39745</t>
  </si>
  <si>
    <t>J-B-B1-94409</t>
  </si>
  <si>
    <t>E1M-TX-59873</t>
  </si>
  <si>
    <t>E1M-SX-56377</t>
  </si>
  <si>
    <t>E1M-SX-42828</t>
  </si>
  <si>
    <t>E1M-LX-42309</t>
  </si>
  <si>
    <t>E1M-LH-73745</t>
  </si>
  <si>
    <t>E1M-LH-93227</t>
  </si>
  <si>
    <t>E1M-CW-90182</t>
  </si>
  <si>
    <t>E1M-CW-70621</t>
  </si>
  <si>
    <t>E1M-CW-72152</t>
  </si>
  <si>
    <t>E1M-CW-89629</t>
  </si>
  <si>
    <t>E1M-CW-48077</t>
  </si>
  <si>
    <t>E1M-CW-52383</t>
  </si>
  <si>
    <t>E1M-CW-74287</t>
  </si>
  <si>
    <t>E1M-CW-83263</t>
  </si>
  <si>
    <t>B10-CZ-71520</t>
  </si>
  <si>
    <t>B10-CZ-32084</t>
  </si>
  <si>
    <t>10G-XN-49419</t>
  </si>
  <si>
    <t>10G-XN-31860</t>
  </si>
  <si>
    <t>10G-XN-46376</t>
  </si>
  <si>
    <t>10G-XN-42341</t>
  </si>
  <si>
    <t>10G-XN-30336</t>
  </si>
  <si>
    <t>10G-XN-27760</t>
  </si>
  <si>
    <t>10G-XN-81291</t>
  </si>
  <si>
    <t>10G-XN-49414</t>
  </si>
  <si>
    <t>10G-XN-29379</t>
  </si>
  <si>
    <t>10G-XN-88383</t>
  </si>
  <si>
    <t>10G-XN-60042</t>
  </si>
  <si>
    <t>10G-XN-62723</t>
  </si>
  <si>
    <t>10G-XN-49890</t>
  </si>
  <si>
    <t>10G-XN-65751</t>
  </si>
  <si>
    <t>10G-XN-46049</t>
  </si>
  <si>
    <t>10G-XN-23795</t>
  </si>
  <si>
    <t>10G-XN-87229</t>
  </si>
  <si>
    <t>10G-XN-29374</t>
  </si>
  <si>
    <t>10G-XN-40336</t>
  </si>
  <si>
    <t>10G-XN-85916</t>
  </si>
  <si>
    <t>10G-XN-50561</t>
  </si>
  <si>
    <t>10G-XN-28248</t>
  </si>
  <si>
    <t>10G-XN-63221</t>
  </si>
  <si>
    <t>10G-XN-25417</t>
  </si>
  <si>
    <t>10G-XN-29518</t>
  </si>
  <si>
    <t>10G-XN-58052</t>
  </si>
  <si>
    <t>10G-XN-79377</t>
  </si>
  <si>
    <t>10G-XN-30850</t>
  </si>
  <si>
    <t>10G-XN-78158</t>
  </si>
  <si>
    <t>10G-XN-95504</t>
  </si>
  <si>
    <t>10G-XN-70472</t>
  </si>
  <si>
    <t>10G-XN-54006</t>
  </si>
  <si>
    <t>10G-XN-79323</t>
  </si>
  <si>
    <t>10G-XN-30883</t>
  </si>
  <si>
    <t>10G-XN-57615</t>
  </si>
  <si>
    <t>10G-XN-95639</t>
  </si>
  <si>
    <t>10G-XN-70648</t>
  </si>
  <si>
    <t>10G-XN-51154</t>
  </si>
  <si>
    <t>10G-XN-33524</t>
  </si>
  <si>
    <t>10G-XN-54920</t>
  </si>
  <si>
    <t>10G-XN-47966</t>
  </si>
  <si>
    <t>10G-XN-73907</t>
  </si>
  <si>
    <t>10G-XN-59612</t>
  </si>
  <si>
    <t>10G-XN-97214</t>
  </si>
  <si>
    <t>10G-XN-85053</t>
  </si>
  <si>
    <t>10G-XN-41331</t>
  </si>
  <si>
    <t>10G-XN-94502</t>
  </si>
  <si>
    <t>J-B-Bx-27467</t>
  </si>
  <si>
    <t>J-B-B2-95752</t>
  </si>
  <si>
    <t>E1M-TX-92484</t>
  </si>
  <si>
    <t>E1M-SX-96669</t>
  </si>
  <si>
    <t>E1M-SX-98859</t>
  </si>
  <si>
    <t>E1M-LX-59560</t>
  </si>
  <si>
    <t>E1M-LH-81128</t>
  </si>
  <si>
    <t>E1M-LH-61744</t>
  </si>
  <si>
    <t>E1M-CW-35980</t>
  </si>
  <si>
    <t>E1M-CW-45999</t>
  </si>
  <si>
    <t>E1M-CW-25599</t>
  </si>
  <si>
    <t>E1M-CW-77340</t>
  </si>
  <si>
    <t>E1M-CW-69281</t>
  </si>
  <si>
    <t>E1M-CW-53972</t>
  </si>
  <si>
    <t>E1M-CW-75382</t>
  </si>
  <si>
    <t>E1M-CW-89631</t>
  </si>
  <si>
    <t>NI--XM-96860</t>
  </si>
  <si>
    <t>NI--XM-58288</t>
  </si>
  <si>
    <t>NI--XM-29699</t>
  </si>
  <si>
    <t>NI--XM-27896</t>
  </si>
  <si>
    <t>NI--XM-66028</t>
  </si>
  <si>
    <t>NI--XM-44757</t>
  </si>
  <si>
    <t>NI--XM-84918</t>
  </si>
  <si>
    <t>NI--XM-97159</t>
  </si>
  <si>
    <t>NI--XM-34036</t>
  </si>
  <si>
    <t>NI--XM-57745</t>
  </si>
  <si>
    <t>NI--XM-87953</t>
  </si>
  <si>
    <t>NI--X--94701</t>
  </si>
  <si>
    <t>NI--X--59743</t>
  </si>
  <si>
    <t>NI--X--64282</t>
  </si>
  <si>
    <t>NI--X--72892</t>
  </si>
  <si>
    <t>NI--X--80878</t>
  </si>
  <si>
    <t>NI--XM-24354</t>
  </si>
  <si>
    <t>NI--XM-69175</t>
  </si>
  <si>
    <t>NI--XM-83972</t>
  </si>
  <si>
    <t>NI--X--57549</t>
  </si>
  <si>
    <t>NI--X--28691</t>
  </si>
  <si>
    <t>NI--X--67378</t>
  </si>
  <si>
    <t>NI--X--75597</t>
  </si>
  <si>
    <t>NI--X--84531</t>
  </si>
  <si>
    <t>NI--X--71781</t>
  </si>
  <si>
    <t>NI--X--64154</t>
  </si>
  <si>
    <t>NI--X--43597</t>
  </si>
  <si>
    <t>NI--X--93699</t>
  </si>
  <si>
    <t>NI--X--51457</t>
  </si>
  <si>
    <t>NI--X--62490</t>
  </si>
  <si>
    <t>NI--X--50117</t>
  </si>
  <si>
    <t>NI--X--97134</t>
  </si>
  <si>
    <t>NI--X--64809</t>
  </si>
  <si>
    <t>NI--X--92801</t>
  </si>
  <si>
    <t>NI--X--35816</t>
  </si>
  <si>
    <t>NI--X--44784</t>
  </si>
  <si>
    <t>NI--X--71274</t>
  </si>
  <si>
    <t>NI--X--36368</t>
  </si>
  <si>
    <t>FLA-PC-89026</t>
  </si>
  <si>
    <t>10G-XF-53150</t>
  </si>
  <si>
    <t>10G-XF-65794</t>
  </si>
  <si>
    <t>10G-XF-72160</t>
  </si>
  <si>
    <t>10G-XF-36277</t>
  </si>
  <si>
    <t>10G-XF-39218</t>
  </si>
  <si>
    <t>10G-XF-40001</t>
  </si>
  <si>
    <t>10G-XF-88954</t>
  </si>
  <si>
    <t>10G-XF-33904</t>
  </si>
  <si>
    <t>10G-XF-54907</t>
  </si>
  <si>
    <t>10G-XF-71434</t>
  </si>
  <si>
    <t>10G-XF-99658</t>
  </si>
  <si>
    <t>10G-XF-98958</t>
  </si>
  <si>
    <t>10G-XF-56627</t>
  </si>
  <si>
    <t>10G-XF-63347</t>
  </si>
  <si>
    <t>10G-XF-59297</t>
  </si>
  <si>
    <t>10G-XF-66865</t>
  </si>
  <si>
    <t>10G-XF-56075</t>
  </si>
  <si>
    <t>10G-XF-49871</t>
  </si>
  <si>
    <t>10G-XF-43564</t>
  </si>
  <si>
    <t>10G-XF-80608</t>
  </si>
  <si>
    <t>10G-XF-91274</t>
  </si>
  <si>
    <t>10G-XF-55305</t>
  </si>
  <si>
    <t>10G-XF-71382</t>
  </si>
  <si>
    <t>10G-XF-73282</t>
  </si>
  <si>
    <t>10G-XF-41489</t>
  </si>
  <si>
    <t>10G-XF-39128</t>
  </si>
  <si>
    <t>10G-XF-71461</t>
  </si>
  <si>
    <t>10G-XF-51666</t>
  </si>
  <si>
    <t>10G-XF-35034</t>
  </si>
  <si>
    <t>10G-XF-78045</t>
  </si>
  <si>
    <t>10G-XF-96301</t>
  </si>
  <si>
    <t>10G-XF-80880</t>
  </si>
  <si>
    <t>10G-XF-53349</t>
  </si>
  <si>
    <t>10G-XF-82316</t>
  </si>
  <si>
    <t>10G-XF-38668</t>
  </si>
  <si>
    <t>10G-XF-88561</t>
  </si>
  <si>
    <t>10G-XF-86662</t>
  </si>
  <si>
    <t>10G-XF-65683</t>
  </si>
  <si>
    <t>10G-XF-56417</t>
  </si>
  <si>
    <t>10G-XF-40393</t>
  </si>
  <si>
    <t>10G-XF-26735</t>
  </si>
  <si>
    <t>10G-XF-26547</t>
  </si>
  <si>
    <t>10G-XF-34471</t>
  </si>
  <si>
    <t>10G-XF-37923</t>
  </si>
  <si>
    <t>10G-XF-52866</t>
  </si>
  <si>
    <t>E1M-TX-99325</t>
  </si>
  <si>
    <t>E1M-SX-75717</t>
  </si>
  <si>
    <t>E1M-SX-54994</t>
  </si>
  <si>
    <t>E1M-LX-83321</t>
  </si>
  <si>
    <t>E1M-LH-25911</t>
  </si>
  <si>
    <t>E1M-LH-99298</t>
  </si>
  <si>
    <t>E1M-CW-66255</t>
  </si>
  <si>
    <t>E1M-CW-56249</t>
  </si>
  <si>
    <t>E1M-CW-57529</t>
  </si>
  <si>
    <t>E1M-CW-31854</t>
  </si>
  <si>
    <t>E1M-CW-48158</t>
  </si>
  <si>
    <t>E1M-CW-55538</t>
  </si>
  <si>
    <t>E1M-CW-50982</t>
  </si>
  <si>
    <t>E1M-CW-71061</t>
  </si>
  <si>
    <t>E1M-BX-29983</t>
  </si>
  <si>
    <t>E1M-BX-96638</t>
  </si>
  <si>
    <t>E1M-SX-95509</t>
  </si>
  <si>
    <t>E1M-10-87713</t>
  </si>
  <si>
    <t>E1M-10-61006</t>
  </si>
  <si>
    <t>E1M-10-68456</t>
  </si>
  <si>
    <t>OC1-XF-32585</t>
  </si>
  <si>
    <t>OC1-XF-48593</t>
  </si>
  <si>
    <t>OC4-SF-78343</t>
  </si>
  <si>
    <t>OC4-SF-37343</t>
  </si>
  <si>
    <t>OC4-SF-33733</t>
  </si>
  <si>
    <t>OC4-SF-43493</t>
  </si>
  <si>
    <t>OC1-SF-34498</t>
  </si>
  <si>
    <t>OC1-SF-26845</t>
  </si>
  <si>
    <t>OC1-SF-31055</t>
  </si>
  <si>
    <t>E1M-10-48092</t>
  </si>
  <si>
    <t>NI--ML-48434</t>
  </si>
  <si>
    <t>NI--ML-39847</t>
  </si>
  <si>
    <t>NI--ML-52531</t>
  </si>
  <si>
    <t>NI--ML-38598</t>
  </si>
  <si>
    <t>NI--ML-23468</t>
  </si>
  <si>
    <t>NI--ML-44714</t>
  </si>
  <si>
    <t>NI--ML-57316</t>
  </si>
  <si>
    <t>NI--ML-59139</t>
  </si>
  <si>
    <t>NI--ML-39232</t>
  </si>
  <si>
    <t>NI--ML-91092</t>
  </si>
  <si>
    <t>NI--ML-83572</t>
  </si>
  <si>
    <t>NI--X--65410</t>
  </si>
  <si>
    <t>NI--X--48625</t>
  </si>
  <si>
    <t>NI--X--80412</t>
  </si>
  <si>
    <t>NI--X--48067</t>
  </si>
  <si>
    <t>NI--X--30079</t>
  </si>
  <si>
    <t>NI--ML-26905</t>
  </si>
  <si>
    <t>NI--ML-38715</t>
  </si>
  <si>
    <t>NI--ML-65106</t>
  </si>
  <si>
    <t>NI--X--29384</t>
  </si>
  <si>
    <t>NI--X--46730</t>
  </si>
  <si>
    <t>NI--X--92937</t>
  </si>
  <si>
    <t>NI--X--80554</t>
  </si>
  <si>
    <t>NI--X--93598</t>
  </si>
  <si>
    <t>NI--X--47133</t>
  </si>
  <si>
    <t>NI--X--60314</t>
  </si>
  <si>
    <t>NI--X--39964</t>
  </si>
  <si>
    <t>NI--X--73769</t>
  </si>
  <si>
    <t>NI--X--68626</t>
  </si>
  <si>
    <t>NI--X--57715</t>
  </si>
  <si>
    <t>NI--X--30077</t>
  </si>
  <si>
    <t>NI--X--81828</t>
  </si>
  <si>
    <t>NI--X--67145</t>
  </si>
  <si>
    <t>NI--X--76760</t>
  </si>
  <si>
    <t>NI--X--92275</t>
  </si>
  <si>
    <t>NI--X--53167</t>
  </si>
  <si>
    <t>NI--X--99279</t>
  </si>
  <si>
    <t>NI--X--83398</t>
  </si>
  <si>
    <t>FLA-PC-23489</t>
  </si>
  <si>
    <t>10G-XF-98881</t>
  </si>
  <si>
    <t>10G-XF-59550</t>
  </si>
  <si>
    <t>10G-XF-79177</t>
  </si>
  <si>
    <t>10G-XF-47050</t>
  </si>
  <si>
    <t>10G-XF-60407</t>
  </si>
  <si>
    <t>10G-XF-77456</t>
  </si>
  <si>
    <t>10G-XF-66460</t>
  </si>
  <si>
    <t>10G-XF-71036</t>
  </si>
  <si>
    <t>10G-XF-49086</t>
  </si>
  <si>
    <t>10G-XF-29909</t>
  </si>
  <si>
    <t>10G-XF-74043</t>
  </si>
  <si>
    <t>10G-XF-27049</t>
  </si>
  <si>
    <t>10G-XF-75670</t>
  </si>
  <si>
    <t>10G-XF-77982</t>
  </si>
  <si>
    <t>10G-XF-63167</t>
  </si>
  <si>
    <t>10G-XF-85991</t>
  </si>
  <si>
    <t>10G-XF-40962</t>
  </si>
  <si>
    <t>10G-XF-58003</t>
  </si>
  <si>
    <t>10G-XF-67039</t>
  </si>
  <si>
    <t>10G-XF-23762</t>
  </si>
  <si>
    <t>10G-XF-50791</t>
  </si>
  <si>
    <t>10G-XF-49251</t>
  </si>
  <si>
    <t>10G-XF-27677</t>
  </si>
  <si>
    <t>10G-XF-78142</t>
  </si>
  <si>
    <t>10G-XF-65163</t>
  </si>
  <si>
    <t>10G-XF-78448</t>
  </si>
  <si>
    <t>10G-XF-36493</t>
  </si>
  <si>
    <t>10G-XF-71393</t>
  </si>
  <si>
    <t>10G-XF-44815</t>
  </si>
  <si>
    <t>10G-XF-34033</t>
  </si>
  <si>
    <t>10G-XF-56747</t>
  </si>
  <si>
    <t>10G-XF-77871</t>
  </si>
  <si>
    <t>10G-XF-70069</t>
  </si>
  <si>
    <t>10G-XF-81033</t>
  </si>
  <si>
    <t>10G-XF-73775</t>
  </si>
  <si>
    <t>10G-XF-30599</t>
  </si>
  <si>
    <t>10G-XF-94485</t>
  </si>
  <si>
    <t>10G-XF-77809</t>
  </si>
  <si>
    <t>10G-XF-37878</t>
  </si>
  <si>
    <t>10G-XF-61147</t>
  </si>
  <si>
    <t>10G-XF-57639</t>
  </si>
  <si>
    <t>10G-XF-67861</t>
  </si>
  <si>
    <t>10G-XF-64131</t>
  </si>
  <si>
    <t>10G-XF-31033</t>
  </si>
  <si>
    <t>10G-XF-57453</t>
  </si>
  <si>
    <t>E1M-TX-62250</t>
  </si>
  <si>
    <t>E1M-SX-96481</t>
  </si>
  <si>
    <t>E1M-SX-77199</t>
  </si>
  <si>
    <t>E1M-LX-48374</t>
  </si>
  <si>
    <t>E1M-LH-77854</t>
  </si>
  <si>
    <t>E1M-LH-61111</t>
  </si>
  <si>
    <t>E1M-CW-73106</t>
  </si>
  <si>
    <t>E1M-CW-67641</t>
  </si>
  <si>
    <t>E1M-CW-33916</t>
  </si>
  <si>
    <t>E1M-CW-93215</t>
  </si>
  <si>
    <t>E1M-CW-24440</t>
  </si>
  <si>
    <t>E1M-CW-82856</t>
  </si>
  <si>
    <t>E1M-CW-27698</t>
  </si>
  <si>
    <t>E1M-CW-76763</t>
  </si>
  <si>
    <t>E1M-BX-76884</t>
  </si>
  <si>
    <t>E1M-BX-59001</t>
  </si>
  <si>
    <t>E1M-SX-79978</t>
  </si>
  <si>
    <t>E1M-10-90672</t>
  </si>
  <si>
    <t>E1M-10-86155</t>
  </si>
  <si>
    <t>E1M-10-85005</t>
  </si>
  <si>
    <t>OC1-XF-97432</t>
  </si>
  <si>
    <t>OC1-XF-58608</t>
  </si>
  <si>
    <t>OC4-SF-82777</t>
  </si>
  <si>
    <t>OC4-SF-48821</t>
  </si>
  <si>
    <t>OC4-SF-39085</t>
  </si>
  <si>
    <t>OC4-SF-72103</t>
  </si>
  <si>
    <t>OC1-SF-66594</t>
  </si>
  <si>
    <t>OC1-SF-30724</t>
  </si>
  <si>
    <t>OC1-SF-72193</t>
  </si>
  <si>
    <t>E1M-10-49784</t>
  </si>
  <si>
    <t>NI--M2-49821</t>
  </si>
  <si>
    <t>NI--M2-27121</t>
  </si>
  <si>
    <t>NI--M2-74194</t>
  </si>
  <si>
    <t>NI--M2-86261</t>
  </si>
  <si>
    <t>NI--M2-39628</t>
  </si>
  <si>
    <t>NI--M2-96843</t>
  </si>
  <si>
    <t>E1M-TX-33602</t>
  </si>
  <si>
    <t>E1M-SX-88570</t>
  </si>
  <si>
    <t>E1M-SX-32109</t>
  </si>
  <si>
    <t>E1M-LX-70189</t>
  </si>
  <si>
    <t>E1M-LH-46717</t>
  </si>
  <si>
    <t>E1M-LH-95036</t>
  </si>
  <si>
    <t>E1M-CW-96833</t>
  </si>
  <si>
    <t>E1M-CW-82979</t>
  </si>
  <si>
    <t>E1M-CW-25782</t>
  </si>
  <si>
    <t>E1M-CW-57208</t>
  </si>
  <si>
    <t>E1M-CW-69488</t>
  </si>
  <si>
    <t>E1M-CW-61939</t>
  </si>
  <si>
    <t>E1M-CW-71686</t>
  </si>
  <si>
    <t>E1M-CW-24127</t>
  </si>
  <si>
    <t>E1M-BX-37884</t>
  </si>
  <si>
    <t>E1M-BX-81520</t>
  </si>
  <si>
    <t>E1M-SX-47227</t>
  </si>
  <si>
    <t>E1M-10-52624</t>
  </si>
  <si>
    <t>E1M-10-65994</t>
  </si>
  <si>
    <t>E1M-10-54377</t>
  </si>
  <si>
    <t>SCI-10-48863</t>
  </si>
  <si>
    <t>SCI-10-81329</t>
  </si>
  <si>
    <t>SCI-30-93248</t>
  </si>
  <si>
    <t>SCI-30-91177</t>
  </si>
  <si>
    <t>LS--SS-32809</t>
  </si>
  <si>
    <t>LS--SS-35789</t>
  </si>
  <si>
    <t>SCI-10-61240</t>
  </si>
  <si>
    <t>SCI-10-70917</t>
  </si>
  <si>
    <t>SCI-30-94150</t>
  </si>
  <si>
    <t>SCI-30-97413</t>
  </si>
  <si>
    <t>SCI-CZ-46816</t>
  </si>
  <si>
    <t>SCI-S-26854</t>
  </si>
  <si>
    <t>SSM-CZ-88052</t>
  </si>
  <si>
    <t>SSM-1-88070</t>
  </si>
  <si>
    <t>J-B-Bx-99285</t>
  </si>
  <si>
    <t>J-B-B1-64131</t>
  </si>
  <si>
    <t>J-B-B1-88944</t>
  </si>
  <si>
    <t>J-B-B2-98322</t>
  </si>
  <si>
    <t>J-B-B4-47888</t>
  </si>
  <si>
    <t>J-B-B2-85976</t>
  </si>
  <si>
    <t>J-B-B2-84131</t>
  </si>
  <si>
    <t>J-B-B4-52879</t>
  </si>
  <si>
    <t>B10-CZ-73684</t>
  </si>
  <si>
    <t>B10-CZ-83865</t>
  </si>
  <si>
    <t>10G-XN-58059</t>
  </si>
  <si>
    <t>10G-XN-85579</t>
  </si>
  <si>
    <t>10G-XN-79234</t>
  </si>
  <si>
    <t>10G-XN-34826</t>
  </si>
  <si>
    <t>10G-XN-50201</t>
  </si>
  <si>
    <t>10G-XN-54168</t>
  </si>
  <si>
    <t>RPS-CZ-27571</t>
  </si>
  <si>
    <t>RPS-CZ-30087</t>
  </si>
  <si>
    <t>E1M-SX-57307</t>
  </si>
  <si>
    <t>E1M-SX-32123</t>
  </si>
  <si>
    <t>E1M-LX-62467</t>
  </si>
  <si>
    <t>E1M-LH-26326</t>
  </si>
  <si>
    <t>E1M-TX-55014</t>
  </si>
  <si>
    <t>SI--4G-33850</t>
  </si>
  <si>
    <t>SI--4G-65205</t>
  </si>
  <si>
    <t>SI--4G-23521</t>
  </si>
  <si>
    <t>SI--4G-32373</t>
  </si>
  <si>
    <t>SI--4G-57947</t>
  </si>
  <si>
    <t>SI--4G-40149</t>
  </si>
  <si>
    <t>SI--4G-27666</t>
  </si>
  <si>
    <t>SI--4G-86979</t>
  </si>
  <si>
    <t>SI--4G-88561</t>
  </si>
  <si>
    <t>RPS-CZ-50378</t>
  </si>
  <si>
    <t>RPS-CZ-88313</t>
  </si>
  <si>
    <t>FCS-CZ-64730</t>
  </si>
  <si>
    <t>FCS-CZ-51130</t>
  </si>
  <si>
    <t>FCS-CZ-76333</t>
  </si>
  <si>
    <t>FCS-CZ-63281</t>
  </si>
  <si>
    <t>FCS-U2-86783</t>
  </si>
  <si>
    <t>FCS-F2-77723</t>
  </si>
  <si>
    <t>U1G-CZ-34197</t>
  </si>
  <si>
    <t>U2G-CZ-96119</t>
  </si>
  <si>
    <t>F1G-CZ-71380</t>
  </si>
  <si>
    <t>F2G-CZ-62213</t>
  </si>
  <si>
    <t>RPS-CZ-58833</t>
  </si>
  <si>
    <t>RPS-I-39186</t>
  </si>
  <si>
    <t>RPS-FC-94638</t>
  </si>
  <si>
    <t>SI--GT-46479</t>
  </si>
  <si>
    <t>SI--GT-80988</t>
  </si>
  <si>
    <t>SI--GT-85963</t>
  </si>
  <si>
    <t>SI--GT-57678</t>
  </si>
  <si>
    <t>SI--GT-27017</t>
  </si>
  <si>
    <t>SI--GT-23732</t>
  </si>
  <si>
    <t>SI3-PL-24983</t>
  </si>
  <si>
    <t>SI3-PL-98898</t>
  </si>
  <si>
    <t>SI4-PL-53518</t>
  </si>
  <si>
    <t>SI4-PL-55295</t>
  </si>
  <si>
    <t>SI8-PL-53683</t>
  </si>
  <si>
    <t>SI8-PL-79485</t>
  </si>
  <si>
    <t>SI3-CZ-85269</t>
  </si>
  <si>
    <t>SI3-DC-69312</t>
  </si>
  <si>
    <t>SI4-CZ-80367</t>
  </si>
  <si>
    <t>SI4-DC-55919</t>
  </si>
  <si>
    <t>SI8-CZ-85980</t>
  </si>
  <si>
    <t>SI8-DC-98556</t>
  </si>
  <si>
    <t>SI--GT-92531</t>
  </si>
  <si>
    <t>SI--GT-60710</t>
  </si>
  <si>
    <t>SI--GT-78231</t>
  </si>
  <si>
    <t>SI--GT-57055</t>
  </si>
  <si>
    <t>SI--GT-70372</t>
  </si>
  <si>
    <t>SI--GT-58459</t>
  </si>
  <si>
    <t>SI--GT-38807</t>
  </si>
  <si>
    <t>SI--GT-40262</t>
  </si>
  <si>
    <t>SI--GT-90241</t>
  </si>
  <si>
    <t>SI--GT-83881</t>
  </si>
  <si>
    <t>SI--GT-58586</t>
  </si>
  <si>
    <t>SI--GT-37177</t>
  </si>
  <si>
    <t>SI--GT-35938</t>
  </si>
  <si>
    <t>SI--GT-46116</t>
  </si>
  <si>
    <t>SI--GT-98112</t>
  </si>
  <si>
    <t>SI--GT-96703</t>
  </si>
  <si>
    <t>SI--GT-77216</t>
  </si>
  <si>
    <t>SI--GT-29989</t>
  </si>
  <si>
    <t>SI--GT-88002</t>
  </si>
  <si>
    <t>SI--GT-50475</t>
  </si>
  <si>
    <t>SI--GT-41125</t>
  </si>
  <si>
    <t>SI--GT-80643</t>
  </si>
  <si>
    <t>J-B-Bx-94249</t>
  </si>
  <si>
    <t>J-B-B1-65928</t>
  </si>
  <si>
    <t>J-B-B1-47927</t>
  </si>
  <si>
    <t>J-B-B2-78383</t>
  </si>
  <si>
    <t>J-B-B4-58580</t>
  </si>
  <si>
    <t>J-B-B2-65099</t>
  </si>
  <si>
    <t>J-B-B2-36086</t>
  </si>
  <si>
    <t>J-B-B4-34775</t>
  </si>
  <si>
    <t>B10-CZ-36941</t>
  </si>
  <si>
    <t>B10-CZ-33824</t>
  </si>
  <si>
    <t>10G-XN-97859</t>
  </si>
  <si>
    <t>10G-XN-72346</t>
  </si>
  <si>
    <t>10G-XN-55707</t>
  </si>
  <si>
    <t>10G-XN-56375</t>
  </si>
  <si>
    <t>RPS-CZ-99208</t>
  </si>
  <si>
    <t>RPS-CZ-41226</t>
  </si>
  <si>
    <t>RPS-CZ-69263</t>
  </si>
  <si>
    <t>RPS-CZ-91669</t>
  </si>
  <si>
    <t>FAN-B3-66271</t>
  </si>
  <si>
    <t>S35-CZ-33904</t>
  </si>
  <si>
    <t>S35-DC-25211</t>
  </si>
  <si>
    <t>S35-S-32412</t>
  </si>
  <si>
    <t>S45-CZ-54534</t>
  </si>
  <si>
    <t>S45-DC-91149</t>
  </si>
  <si>
    <t>S45-S-71763</t>
  </si>
  <si>
    <t>S85-CZ-26210</t>
  </si>
  <si>
    <t>S85-DC-73591</t>
  </si>
  <si>
    <t>S85-S-28330</t>
  </si>
  <si>
    <t>E1M-SX-32073</t>
  </si>
  <si>
    <t>E1M-SX-31473</t>
  </si>
  <si>
    <t>E1M-LX-90945</t>
  </si>
  <si>
    <t>E1M-LH-68146</t>
  </si>
  <si>
    <t>E1M-TX-78115</t>
  </si>
  <si>
    <t>WSM-CZ-25209</t>
  </si>
  <si>
    <t>WSM-CZ-97327</t>
  </si>
  <si>
    <t>WSM-1-61562</t>
  </si>
  <si>
    <t>WSM-2-95466</t>
  </si>
  <si>
    <t>WSM-SS-31593</t>
  </si>
  <si>
    <t>WSM-SS-98194</t>
  </si>
  <si>
    <t>SRV-SS-91513</t>
  </si>
  <si>
    <t>SRV-SS-98358</t>
  </si>
  <si>
    <t>TRF-PR-29546</t>
  </si>
  <si>
    <t>SI--GT-58024</t>
  </si>
  <si>
    <t>TRF-S-91954</t>
  </si>
  <si>
    <t>IVI-NT-74555</t>
  </si>
  <si>
    <t>IVI-SO-87822</t>
  </si>
  <si>
    <t>IVI-LI-25984</t>
  </si>
  <si>
    <t>IVI-LI-39361</t>
  </si>
  <si>
    <t>IVI-IP-91214</t>
  </si>
  <si>
    <t>IVI-IP-97738</t>
  </si>
  <si>
    <t>IVI-IP-35628</t>
  </si>
  <si>
    <t>ACT-Co-37030</t>
  </si>
  <si>
    <t>ACT-FO-53433</t>
  </si>
  <si>
    <t>ACT-FO-81350</t>
  </si>
  <si>
    <t>ACT-FO-48853</t>
  </si>
  <si>
    <t>ACT-FO-57548</t>
  </si>
  <si>
    <t>ACT-FO-63266</t>
  </si>
  <si>
    <t>ACT-FO-33438</t>
  </si>
  <si>
    <t>ACT-FO-72104</t>
  </si>
  <si>
    <t>ACT-FO-60454</t>
  </si>
  <si>
    <t>RMK-70-41955</t>
  </si>
  <si>
    <t>RMK-70-62185</t>
  </si>
  <si>
    <t>RMK-70-31292</t>
  </si>
  <si>
    <t>RMK-70-25610</t>
  </si>
  <si>
    <t>RMK-70-72654</t>
  </si>
  <si>
    <t>RMK-BN-75161</t>
  </si>
  <si>
    <t>RMK-BN-40814</t>
  </si>
  <si>
    <t>RMK-BN-95614</t>
  </si>
  <si>
    <t>FTA-30-70832</t>
  </si>
  <si>
    <t>100-00-97359</t>
  </si>
  <si>
    <t>100-00-41621</t>
  </si>
  <si>
    <t>100-00-69162</t>
  </si>
  <si>
    <t>CC-CZ-36469</t>
  </si>
  <si>
    <t>007-12-51991</t>
  </si>
  <si>
    <t>PC--LC-96492</t>
  </si>
  <si>
    <t>PC--MT-40859</t>
  </si>
  <si>
    <t>PC--LC-47610</t>
  </si>
  <si>
    <t>PCU-3M-64063</t>
  </si>
  <si>
    <t>PCU-CZ-47273</t>
  </si>
  <si>
    <t>PCU-CZ-38599</t>
  </si>
  <si>
    <t>PCJ-CZ-87909</t>
  </si>
  <si>
    <t>PCE-CZ-86045</t>
  </si>
  <si>
    <t>PC1-CZ-99059</t>
  </si>
  <si>
    <t>PC1-NE-75295</t>
  </si>
  <si>
    <t>PC1-CZ-72882</t>
  </si>
  <si>
    <t>PC1-CZ-56184</t>
  </si>
  <si>
    <t>PCU-NE-27024</t>
  </si>
  <si>
    <t>WMK-70-27394</t>
  </si>
  <si>
    <t>PCJ-C1-35403</t>
  </si>
  <si>
    <t>PC1-CZ-27427</t>
  </si>
  <si>
    <t>PC1-CZ-95361</t>
  </si>
  <si>
    <t>PCA-CZ-79762</t>
  </si>
  <si>
    <t>PC1-IE-39295</t>
  </si>
  <si>
    <t>PCC-IE-49890</t>
  </si>
  <si>
    <t>BMP-10-40325</t>
  </si>
  <si>
    <t>RSK-30-99883</t>
  </si>
  <si>
    <t>RMK-70-30529</t>
  </si>
  <si>
    <t>RMK-70-71963</t>
  </si>
  <si>
    <t>104-00-70258</t>
  </si>
  <si>
    <t>FTA-30-85564</t>
  </si>
  <si>
    <t>014-11-70739</t>
  </si>
  <si>
    <t>014-14-56223</t>
  </si>
  <si>
    <t>014-00-77258</t>
  </si>
  <si>
    <t>014-00-68284</t>
  </si>
  <si>
    <t>014-01-45261</t>
  </si>
  <si>
    <t>014-03-53690</t>
  </si>
  <si>
    <t>014-02-82089</t>
  </si>
  <si>
    <t>014-10-94597</t>
  </si>
  <si>
    <t>014-10-39800</t>
  </si>
  <si>
    <t>014-10-41574</t>
  </si>
  <si>
    <t>014-10-38381</t>
  </si>
  <si>
    <t>014-14-98022</t>
  </si>
  <si>
    <t>014-14-90371</t>
  </si>
  <si>
    <t>BI--RX-71479</t>
  </si>
  <si>
    <t>NI--ML-93226</t>
  </si>
  <si>
    <t>NI--XM-90238</t>
  </si>
  <si>
    <t>SSU-CZ-44650</t>
  </si>
  <si>
    <t>RSU-CZ-33443</t>
  </si>
  <si>
    <t>SCU-CZ-72317</t>
  </si>
  <si>
    <t>RCU-CZ-57840</t>
  </si>
  <si>
    <t>SLB-CZ-65958</t>
  </si>
  <si>
    <t>SLB-CZ-47667</t>
  </si>
  <si>
    <t>CDD-CZ-84824</t>
  </si>
  <si>
    <t>IVI-SW-84106</t>
  </si>
  <si>
    <t>ON--SI-75748</t>
  </si>
  <si>
    <t>EIM-CW optic, 80Km, 1470nm, LC connector</t>
  </si>
  <si>
    <t>EIM-CW optic, 80Km, 1490nm, LC connector</t>
  </si>
  <si>
    <t>EIM-CW optic, 80Km, 1510nm, LC connector</t>
  </si>
  <si>
    <t>EIM-CW optic, 80Km, 1530nm, LC connector</t>
  </si>
  <si>
    <t>EIM-CW optic, 80Km, 1550nm, LC connector</t>
  </si>
  <si>
    <t>EIM-CW optic, 80Km, 1570nm, LC connector</t>
  </si>
  <si>
    <t>EIM-CW optic, 80Km, 1590nm, LC connector</t>
  </si>
  <si>
    <t>EIM-CW optic, 80Km, 1610nm, LC connector</t>
  </si>
  <si>
    <t>EIF 24-port 10/100/1000 with 4-port SFP combo slots.</t>
  </si>
  <si>
    <t>EIF 48-port 10/100/1000 with 4-port SFP combo slots.</t>
  </si>
  <si>
    <t>EIF 8-port 10GbE with complete Layer 2 SW. 8-port XFP slots that support SR, LR, and ER XFP optics. XFP optics must be purchased and shipped separately.</t>
  </si>
  <si>
    <t>Console Port Cable EIF Series</t>
  </si>
  <si>
    <t xml:space="preserve">Power Cord for use with the EIF, the RPS5, the RPS8, the RPS-X424, &amp; the RPS-X448 in Australia. </t>
  </si>
  <si>
    <t>FES 12GCF Layer 3 Software upgrade</t>
  </si>
  <si>
    <t>220W, -48vDC power supply for FES Switch Family</t>
  </si>
  <si>
    <t xml:space="preserve">FES Switch 9604 rack mount kit. </t>
  </si>
  <si>
    <t>FES Switch Wall Mounts</t>
  </si>
  <si>
    <t>Layer 3 Upgrade for FES31560</t>
  </si>
  <si>
    <t>Layer 3 Upgrade for FES92979</t>
  </si>
  <si>
    <t>Layer 3 Upgrade for FES78605</t>
  </si>
  <si>
    <t>600W, AC power supply for FES PO only</t>
  </si>
  <si>
    <t>600W, DC power supply for FES PO only</t>
  </si>
  <si>
    <t>EIF with 8-port XFP slots and complete L2 SW.</t>
  </si>
  <si>
    <t>FES-PO with L2/BaseL3 SW and 24 10/100Base-T ports with 2 Combo GbE port that supports copper and fiber connectivity. For fiber, SX (MMF), LX (SMF), and LHA (SMF) SFP optics are supported. Includes one (1) AC PS.</t>
  </si>
  <si>
    <t>FES-PO with L2/BaseL3 SW and 48 10/100Base-T ports each supporting IEEE 802.3af-compliant Power over Ethernet (PoE) plus 2 Combo GbE port that supports copper and fiber connectivity. Includes one (1) AC PS.</t>
  </si>
  <si>
    <t>FES-PO with Full Layer 3 SW and 24 10/100Base-T ports that include support for IEEE 802.3af-compliant Power over Ethernet (PoE) with 2 Combo GbE port that supports copper and fiber connectivity. For fiber, SX (MMF), LX (SMF), and LHA (SMF)</t>
  </si>
  <si>
    <t>FES-PO with Full Layer 3 SW and 48 10/100Base-T ports each supporting IEEE 802.3af-compliant Power over Ethernet (PoE) plus 2 Combo GbE port that supports copper and fiber connectivity. Includes one (1) AC PS.</t>
  </si>
  <si>
    <t>600W,  AC PS FES-PO Only</t>
  </si>
  <si>
    <t>600W, DC power supply for FES-PO only</t>
  </si>
  <si>
    <t>FES-PO includes 24-port 10/100/1000 802.3af with 4-port Combo copper/fiber Gigabit Ethernet ports 10/100/1000 Mbps (RJ45) or Gigabit Ethernet Fiber (SFP) connectivity per port and one AC power supply.</t>
  </si>
  <si>
    <t>FES-PO with Base L3 SW, 24-port 10/100/1000 802.3af with 4-port Combo &amp; 1 AC PS.</t>
  </si>
  <si>
    <t>FES-PO-DC includes 24-port 10/100/1000 802.3af with 4-port Combo copper/fiber Gigabit Ethernet ports 10/100/1000 Mbps (RJ45) or Gigabit Ethernet Fiber (SFP) connectivity per port and one DC power supply.</t>
  </si>
  <si>
    <t>FES-PO-DC with Base L3 SW, 24-port 10/100/1000 802.3af with 4-port Combo &amp; 1 DC PS.</t>
  </si>
  <si>
    <t>FES-PO+1XG includes 24-port 10/100/1000 802.3af with 4-port Combo copper/fiber Gigabit Ethernet ports 10/100/1000 Mbps (RJ45) or Gigabit Ethernet Fiber (SFP) connectivity per port, 1-port XFP 10 Gigabit Ethernet and one AC power supply.</t>
  </si>
  <si>
    <t>FES-PO+1XG with Base L3 SW, 24-port 10/100/1000 802.3af with 4-port Combo, 1-port XFP 10GbE &amp; 1 AC PS.</t>
  </si>
  <si>
    <t>FES-PO+1XG-DC includes 24-port 10/100/1000 802.3af with 4-port Combo copper/fiber Gigabit Ethernet ports 10/100/1000 Mbps (RJ45) or Gigabit Ethernet Fiber (SFP) connectivity per port, 1-port XFP 10 Gigabit Ethernet and one DC power supply.</t>
  </si>
  <si>
    <t>FES-PO+1XG-DC with Base L3 SW, 24-port 10/100/1000 802.3af with 4-port Combo, 1-port XFP 10GbE, &amp; 1 DC PS.</t>
  </si>
  <si>
    <t>FES-PO+2XG includes 24-port 10/100/1000 802.3af with 4-port Combo copper/fiber Gigabit Ethernet ports 10/100/1000 Mbps (RJ45) or Gigabit Ethernet Fiber (SFP) connectivity per port, 2-port XFP 10 Gigabit Ethernet and one AC power supply.</t>
  </si>
  <si>
    <t>FES-PO+2XG with Base L3 SW, 24-port 10/100/1000 802.3af with 4-port Combo, 2-port XFP 10GbE, &amp; 1 AC PS.</t>
  </si>
  <si>
    <t>FES-PO+2XG-DC includes 24-port 10/100/1000 802.3af with 4-port Combo copper/fiber Gigabit Ethernet ports 10/100/1000 Mbps (RJ45) or Gigabit Ethernet Fiber (SFP) connectivity per port, 2-port XFP 10 Gigabit Ethernet and one DC power supply.</t>
  </si>
  <si>
    <t>FES-PO+2XG-DC with Base L3 SW, 24-port 10/100/1000 802.3af with 4-port Combo, 2-port XFP 10GbE, &amp; 1 DC PS.</t>
  </si>
  <si>
    <t>FES-PO-PREM premium (PREM) includes 24-port 10/100/1000 802.3af with 4-port Combo copper/fiber Gigabit Ethernet ports 10/100/1000 Mbps (RJ45) or Gigabit Ethernet Fiber (SFP) connectivity per port and one AC power supply.</t>
  </si>
  <si>
    <t>FES-PO-PREM with full L3 SW, 24-port 10/100/1000 802.3af with 4-port Combo &amp; 1 AC PS.</t>
  </si>
  <si>
    <t>FES-PO-PREM-DC premium (PREM) includes 24-port 10/100/1000 802.3af with 4-port Combo copper/fiber Gigabit Ethernet ports 10/100/1000 Mbps (RJ45) or Gigabit Ethernet Fiber (SFP) connectivity per port and one DC power supply.</t>
  </si>
  <si>
    <t>FES-PO-PREM-DC with full L3 SW, 24-port 10/100/1000 802.3af with 4-port Combo &amp; 1 DC PS.</t>
  </si>
  <si>
    <t xml:space="preserve">FES-PO+1XG-PREM premium (PREM) includes 24-port 10/100/1000 802.3af with 4-port Combo copper/fiber Gigabit Ethernet ports 10/100/1000 Mbps (RJ45) or Gigabit Ethernet Fiber (SFP) connectivity per port, 1-port XFP 10 Gigabit Ethernet, and one AC power supply. </t>
  </si>
  <si>
    <t>FES-PO+1XG-PREM with full L3 SW, 24-port 10/100/1000 802.3af with 4-port Combo, 1-port XFP 10GbE, &amp; 1 AC PS.</t>
  </si>
  <si>
    <t>FES-PO+1XG-PREM-DC premium (PREM) includes 24-port 10/100/1000 802.3af with 4-port Combo copper/fiber Gigabit Ethernet ports 10/100/1000 Mbps (RJ45) or Gigabit Ethernet Fiber (SFP) connectivity per port, 1-port XFP 10 Gigabit Ethernet and one DC power supply.</t>
  </si>
  <si>
    <t>FES-PO+1XG-PREM-DC with full L3 SW, 24-port 10/100/1000 802.3af with 4-port Combo, 1-port XFP 10GbE, &amp; 1 DC PS.</t>
  </si>
  <si>
    <t>FES-PO+2XG-PREM premium (PREM) includes 24-port 10/100/1000 802.3af with 4-port Combo copper/fiber Gigabit Ethernet ports 10/100/1000 Mbps (RJ45) or Gigabit Ethernet Fiber (SFP) connectivity per port, 2-port XFP 10 Gigabit Ethernet and one AC power supply.</t>
  </si>
  <si>
    <t>FES-PO+2XG-PREM with full L3 SW, 24-port 10/100/1000 802.3af with 4-port Combo, 2-port XFP, &amp; 1 AC PS.</t>
  </si>
  <si>
    <t>FES-PO+2XG-PREM-DC premium (PREM) includes 24-port 10/100/1000 802.3af with 4-port Combo copper/fiber Gigabit Ethernet ports 10/100/1000 Mbps (RJ45) or Gigabit Ethernet Fiber (SFP) connectivity per port, 2-port XFP 10 Gigabit Ethernet and one DC power supply.</t>
  </si>
  <si>
    <t>FES-PO+2XG-PREM-DC with full L3 SW, 24-port 10/100/1000 802.3af with 4-port Combo, 2-port XFP 10GbE, &amp; 1 DC PS.</t>
  </si>
  <si>
    <t>Redundant power supply (600W) for the FES-PO only!</t>
  </si>
  <si>
    <t>Redundant DC for the FES-PO</t>
  </si>
  <si>
    <t>RPS DC for the FES-PO</t>
  </si>
  <si>
    <t>FES-port 10/100Base-TX (RJ45) plus 2-port 1000Base-T and 1000Base-X (SFP) with AC power supply</t>
  </si>
  <si>
    <t>FES-port 10/100Base-TX (RJ45) plus 4-port 1000Base-T and 1000Base-X (SFP) with AC power supply</t>
  </si>
  <si>
    <t>FES-T and SFP slots for fiber optics (SX, LX, and LHA), and one AC power supply.</t>
  </si>
  <si>
    <t>FES-T and SFP slots for fiber optics (SX, LX, and LHA), and one DC power supply.</t>
  </si>
  <si>
    <t>FES-port 10/100/1000 with 4-port Combo copper/fiber Gigabit Ethernet ports 10/100/1000 Mbps (RJ45) or Gigabit Ethernet Fiber (SFP) connectivity per port, and one AC power supply.</t>
  </si>
  <si>
    <t>FES-45), 4-port Combo GbE, &amp; 1 AC PS.</t>
  </si>
  <si>
    <t>FES-port 10/100/1000 with 4-port Combo copper/fiber Gigabit Ethernet ports 10/100/1000 Mbps (RJ45) or Gigabit Ethernet Fiber (SFP) connectivity per port and one AC power supply.</t>
  </si>
  <si>
    <t>FES-45) with 4-port Combo GbE, &amp; 1 AC PS.</t>
  </si>
  <si>
    <t>FES-port 10/100/1000 with 4-port Combo copper/fiber Gigabit Ethernet ports 10/100/1000 Mbps (RJ45) or Gigabit Ethernet Fiber (SFP) connectivity per port and one DC power supply.</t>
  </si>
  <si>
    <t>FES-45) with 4-port Combo GbE, &amp; 1 DC PS.</t>
  </si>
  <si>
    <t xml:space="preserve">FES-port 10/100/1000 with 4-port Combo copper/fiber Gigabit Ethernet ports 10/100/1000 Mbps (RJ45) or Gigabit Ethernet Fiber (SFP) connectivity per port, 1-port XFP 10 Gigabit Ethernet and one AC power supply. </t>
  </si>
  <si>
    <t>FES-45), 4-port Combo GbE, 1-slot XFP, &amp; 1 AC PS.</t>
  </si>
  <si>
    <t>FES-port 10/100/1000 with 4-port Combo copper/fiber Gigabit Ethernet ports 10/100/1000 Mbps (RJ45) or Gigabit Ethernet Fiber (SFP) connectivity per port, 1-port XFP 10 Gigabit Ethernet, and one AC power supply.</t>
  </si>
  <si>
    <t xml:space="preserve">FES-port 10/100/1000 with 4-port Combo copper/fiber Gigabit Ethernet ports 10/100/1000 Mbps (RJ45) or Gigabit Ethernet Fiber (SFP) connectivity per port, 1-port XFP 10 Gigabit Ethernet, and one DC power supply. </t>
  </si>
  <si>
    <t>FES-45), 4-port Combo GbE, 1-slot XFP, &amp; 1 DC PS.</t>
  </si>
  <si>
    <t>FES-port 10/100/1000 with 4-port Combo copper/fiber Gigabit Ethernet ports 10/100/1000 Mbps (RJ45) or Gigabit Ethernet Fiber (SFP) connectivity per port, 1-port XFP 10 Gigabit Ethernet, and one DC power supply.</t>
  </si>
  <si>
    <t>FES-45) with 4-port Combo GbE, 1-slot XFP, &amp; 1 DC PS.</t>
  </si>
  <si>
    <t xml:space="preserve">FES-port 10/100/1000 with 4-port Combo copper/fiber Gigabit Ethernet ports 10/100/1000 Mbps (RJ45) or Gigabit Ethernet Fiber (SFP) connectivity per port, 2-port XFP 10 Gigabit Ethernet, and one AC power supply. </t>
  </si>
  <si>
    <t>FES-45) with 4-port Combo GbE, 2-slot XFP, &amp; 1 AC PS.</t>
  </si>
  <si>
    <t xml:space="preserve">FES-port 10/100/1000 with 4-port Combo copper/fiber Gigabit Ethernet ports 10/100/1000 Mbps (RJ45) or Gigabit Ethernet Fiber (SFP) connectivity per port, 2-port XFP 10 Gigabit Ethernet, 400 MHz processor, 128 MB SDRAM, and one AC power supply. </t>
  </si>
  <si>
    <t>FES-45), 4-port Combo GbE, 2-slot XFP, &amp; 1 AC PS.</t>
  </si>
  <si>
    <t xml:space="preserve">FES-port 10/100/1000 with 4-port Combo copper/fiber Gigabit Ethernet ports 10/100/1000 Mbps (RJ45) or Gigabit Ethernet Fiber (SFP) connectivity per port, 400 MHz processor, 2-port XFP 10 Gigabit Ethernet, 128 MB SDRAM, and one DC power supply. </t>
  </si>
  <si>
    <t>FES-45) with 4-port Combo GbE, 2-slot XFP, &amp; 1 DC PS.</t>
  </si>
  <si>
    <t xml:space="preserve">FES-port 10/100/1000 with 4-port Combo copper/fiber Gigabit Ethernet ports 10/100/1000 Mbps (RJ45) or Gigabit Ethernet Fiber (SFP) connectivity per port, 2-port XFP 10 Gigabit Ethernet, 400 MHz processor, 128 MB SDRAM, and one DC power supply. </t>
  </si>
  <si>
    <t>FES-45), 4-port Combo GbE, 2-slot XFP, &amp; 1 DC PS.</t>
  </si>
  <si>
    <t xml:space="preserve">FES-port 10/100/1000 with 4-port Combo copper/fiber Gigabit Ethernet ports 10/100/1000 Mbps (RJ45) or Gigabit Ethernet Fiber (SFP) connectivity per port and one AC power supply. </t>
  </si>
  <si>
    <t>FES-port 10/100/1000 SFP with 4-port Combo copper/fiber Gigabit Ethernet ports 10/100/1000 Mbps (RJ45) or Gigabit Ethernet Fiber (SFP) connectivity per port and one AC power supply.</t>
  </si>
  <si>
    <t>FES-port 10/100/1000 (RJ-45) with 4-port Combo copper/fiber Gigabit Ethernet ports 10/100/1000 Mbps (RJ45) or Gigabit Ethernet Fiber (SFP) connectivity per port and one DC power supply.</t>
  </si>
  <si>
    <t>FES-45) with 4-port Combo, &amp; 1 DC PS.</t>
  </si>
  <si>
    <t xml:space="preserve">FES-port 10/100/1000 (RJ-45) with 4-port Combo copper/fiber Gigabit Ethernet ports 10/100/1000 Mbps (RJ45) or Gigabit Ethernet Fiber (SFP) connectivity per port and one DC power supply. </t>
  </si>
  <si>
    <t>FES-port 10/100/1000 (RJ-45) with 4-port Combo, &amp; 1 DC PS.</t>
  </si>
  <si>
    <t>FES-port 10/100/1000 with 4-port Combo copper/fiber Gigabit Ethernet ports 10/100/1000 Mbps (RJ45) or Gigabit Ethernet Fiber (SFP) connectivity per port, 1-port XFP 10 Gigabit Ethernet and one AC power supply.</t>
  </si>
  <si>
    <t>FES-45) with 4-port Combo GbE, 1-slot XFP, &amp; 1 AC PS.</t>
  </si>
  <si>
    <t>FES-port 10/100/1000 (RJ-45) with 4-port Combo copper/fiber Gigabit Ethernet ports 10/100/1000 Mbps (RJ45) or Gigabit Ethernet Fiber (SFP) connectivity per port, 1-port XFP 10 Gigabit Ethernet and one DC power supply.</t>
  </si>
  <si>
    <t>FES-port 10/100/1000 (RJ-45) with 4-port Combo, 1-port XFP 10GbE, &amp; 1 DC PS.</t>
  </si>
  <si>
    <t>FES-port 10/100/1000 SFP with 4-port Combo copper/fiber Gigabit Ethernet ports 10/100/1000 Mbps (RJ45) or Gigabit Ethernet Fiber (SFP) connectivity per port, 1-port XFP 10 Gigabit Ethernet and one AC power supply.</t>
  </si>
  <si>
    <t>FES-port 10/100/1000 with 4-port Combo copper/fiber Gigabit Ethernet ports 10/100/1000 Mbps (RJ45) or Gigabit Ethernet Fiber (SFP) connectivity per port, 2-port XFP 10 Gigabit Ethernet and one AC power supply.</t>
  </si>
  <si>
    <t>FES-port 10/100/1000 SFP with 4-port Combo copper/fiber Gigabit Ethernet ports 10/100/1000 Mbps (RJ45) or Gigabit Ethernet Fiber (SFP) connectivity per port, 2-port XFP 10 Gigabit Ethernet and one AC power supply.</t>
  </si>
  <si>
    <t>FES-port 10/100/1000 (RJ-45) with 4-port Combo copper/fiber Gigabit Ethernet ports 10/100/1000 Mbps (RJ45) or Gigabit Ethernet Fiber (SFP) connectivity per port, 2-port XFP 10 Gigabit Ethernet and one DC power supply.</t>
  </si>
  <si>
    <t>FES-port 10/100/1000 (RJ-45) with 4-port Combo, 2-port XFP 10GbE, &amp; 1 DC PS.</t>
  </si>
  <si>
    <t>FES-port 10/100/1000 ports (RJ-45) with 4-port Combo, 2-port XFP 10GbE, &amp; 1 DC PS.</t>
  </si>
  <si>
    <t>FES-port 100/1000 SFP with 4-port Combo copper/fiber Gigabit Ethernet ports 10/100/1000 Mbps (RJ45) or Gigabit Ethernet Fiber (SFP) connectivity per port and one AC power supply.</t>
  </si>
  <si>
    <t>FES-port 100/1000 SFP with 4-port Combo &amp; 1 AC PS.</t>
  </si>
  <si>
    <t>FES-port 100/1000 SFP with 4-port Combo copper/fiber Gigabit Ethernet ports 10/100/1000 Mbps (RJ45) or Gigabit Ethernet Fiber (SFP) connectivity per port and one DC power supply.</t>
  </si>
  <si>
    <t>FES-port 100/1000 SFP with 4-port Combo &amp; 1 DC PS.</t>
  </si>
  <si>
    <t>FES-port 100/1000 SFP with 4-port Combo copper/fiber Gigabit Ethernet ports 10/100/1000 Mbps (RJ45) or Gigabit Ethernet Fiber (SFP) connectivity per port, 1-port XFP 10 Gigabit Ethernet and one AC power supply.</t>
  </si>
  <si>
    <t>FES-port 100/1000 SFP with 4-port Combo, 1-port XFP 10GbE &amp; 1 AC PS.</t>
  </si>
  <si>
    <t>FES-port 100/1000 SFP with 4-port Combo copper/fiber Gigabit Ethernet ports 10/100/1000 Mbps (RJ45) or Gigabit Ethernet Fiber (SFP) connectivity per port, 1-port XFP 10 Gigabit Ethernet, and one AC power supply.</t>
  </si>
  <si>
    <t>FES-port 100/1000 SFP with 4-port Combo, 1-port XFP 10GbE, &amp; 1 AC PS.</t>
  </si>
  <si>
    <t>FES-port 100/1000 SFP with 4-port Combo copper/fiber Gigabit Ethernet ports 10/100/1000 Mbps (RJ45) or Gigabit Ethernet Fiber (SFP) connectivity per port, 1-port XFP 10 Gigabit Ethernet, and one DC power supply.</t>
  </si>
  <si>
    <t>FES-port 100/1000 SFP with 4-port Combo, 1-port XFP 10GbE, &amp; 1 DC PS.</t>
  </si>
  <si>
    <t>FES-port 100/1000 SFP with 4-port Combo copper/fiber Gigabit Ethernet ports 10/100/1000 Mbps (RJ45) or Gigabit Ethernet Fiber (SFP) connectivity per port, 1-port XFP 10 Gigabit Ethernet and one DC power supply.</t>
  </si>
  <si>
    <t>FES-port 100/1000 SFP with 4-port Combo copper/fiber Gigabit Ethernet ports 10/100/1000 Mbps (RJ45) or Gigabit Ethernet Fiber (SFP) connectivity per port, 2-port XFP 10 Gigabit Ethernet and one AC power supply.</t>
  </si>
  <si>
    <t>FES-port 100/1000 SFP with 4-port Combo, 2-port XFP 10GbE, &amp; 1 AC PS.</t>
  </si>
  <si>
    <t>FES-port 100/1000 SFP with 4-port Combo, 2-port XFP, &amp; 1 AC PS.</t>
  </si>
  <si>
    <t>FES-port 100/1000 SFP with 4-port Combo copper/fiber Gigabit Ethernet ports 10/100/1000 Mbps (RJ45) or Gigabit Ethernet Fiber (SFP) connectivity per port, 2-port XFP 10 Gigabit Ethernet and one DC power supply.</t>
  </si>
  <si>
    <t>FES-port 100/1000 SFP with 4-port Combo, 2-port XFP 10GbE, &amp; 1 DC PS.</t>
  </si>
  <si>
    <t xml:space="preserve">FES-port 100/1000 SFP with 4-port Combo copper/fiber Gigabit Ethernet ports 10/100/1000 Mbps (RJ45) or Gigabit Ethernet Fiber (SFP) connectivity per port, 2-port XFP 10 Gigabit Ethernet and one DC power supply. </t>
  </si>
  <si>
    <t>Layer 3 software upgrade for the 24-port FES-SM, PIM-DM, and DVMRP</t>
  </si>
  <si>
    <t>Layer 3 software upgrade for the 48-port FES-SM, PIM-DM and DVMRP. BGP4 requires software release 2.1.01 a</t>
  </si>
  <si>
    <t>FGS L2 SW, 24 10/100/1000 POE upgradeable ports (RJ-45), 4-port Combo 100/1000, &amp; 1 AC PS.</t>
  </si>
  <si>
    <t>FGS L2 SW, 24 10/100/1000 POE upgradeable ports (RJ-45), 4-port Combo 100/1000, &amp; 1 DC PS.</t>
  </si>
  <si>
    <t>FGS L2 SW, 24 10/100/1000 POE ready ports (RJ-45), 4-port Combo 100/1000, &amp; 1 AC PS.</t>
  </si>
  <si>
    <t>FGS L2 SW, 24 10/100/1000 POE ready ports (RJ-45), 4-port Combo 100/1000, &amp; 1 DC PS.</t>
  </si>
  <si>
    <t>FGS L2 SW, 48 10/100/1000 POE upgradeable ports (RJ-45), 4-port Combo 100/1000, &amp; 1 AC PS.</t>
  </si>
  <si>
    <t>FGS L2 SW, 48 10/100/1000 POE upgradeable ports (RJ-45), 4-port Combo 100/1000, &amp; 1 DC PS.</t>
  </si>
  <si>
    <t>FGS L2 SW, 48 10/100/1000 POE ready ports (RJ-45), 4-port Combo 100/1000, &amp; 1 AC PS.</t>
  </si>
  <si>
    <t>FGS L2 SW, 48 10/100/1000 POE ready ports (RJ-45), 4-port Combo 100/1000, &amp; 1DC PS.</t>
  </si>
  <si>
    <t>FGS 2 Label</t>
  </si>
  <si>
    <t>remote office buildings</t>
  </si>
  <si>
    <t>main floors</t>
  </si>
  <si>
    <t>fibre distribution</t>
  </si>
  <si>
    <t>building core</t>
  </si>
  <si>
    <t>data centre</t>
  </si>
  <si>
    <t>Documentation for all TRON products in Adobe Acrobat format on CD-ROM.</t>
  </si>
  <si>
    <t>FES-DC with integrated TRONPoint WLAN/L2 SW and 24-port 10/100Base-TX (RJ45) plus 2-port 1000Base-T and 1000Base-X (SFP) with -48vDC power supply</t>
  </si>
  <si>
    <t>FES-DC with integrated TRONPoint WLAN/L2 SW and 48-port 10/100Base-TX (RJ45) plus 2-port 1000Base-T and 1000Base-X (SFP) with -48vDC power supply</t>
  </si>
  <si>
    <t>FES-DC with integrated TRONPoint WLAN/L2 SW and 96-port 10/100Base-TX (RJ45) plus 4-port 1000Base-T and 1000Base-X (SFP) with -48vDC power supply</t>
  </si>
  <si>
    <t>FES-PO with integrated TRONPoint WLAN/L2 SW and 24-port 10/100Base-T with 2 Combo GbE ports that supports copper and fiber connectivity. For fiber, SX (MMF), LX (SMF), and LHA (SMF) SFP optics are supported. Includes one (1) AC PS.</t>
  </si>
  <si>
    <t>FES-PO with integrated TRONPoint WLAN/L2 SW and 48-port 10/100Base-T with 2 Combo GbE ports that supports copper and fiber connectivity. For fiber, SX (MMF), LX (SMF), and LHA (SMF) SFP optics are supported. Includes one (1) AC PS.</t>
  </si>
  <si>
    <t>Integrated TRONPoint wireless LAN upgrade kit for FES-PO versions.</t>
  </si>
  <si>
    <t>TRONPoint WLAN upgrade kit for FES Switch</t>
  </si>
  <si>
    <t>220W, AC power supply for FES Switch Family and NetTRON Metro Router</t>
  </si>
  <si>
    <t>TRONPoint Mobility Series MC500 Mobility Controller for 5 Mobility Series Access Points. Dual 10/100 Mbps Fast Ethernet uplinks.</t>
  </si>
  <si>
    <t>TRONPoint Mobility Series MC1000 Mobility Controller for 15 Mobility Series Access Points. Dual 10/100/1000 Mbps Gigabit Ethernet uplinks.</t>
  </si>
  <si>
    <t>TRONPoint Mobility Series MC1000 Mobility Controller for 30 Mobility Series Access Points. Dual 10/100/1000 Mbps Gigabit Ethernet uplinks.</t>
  </si>
  <si>
    <t>TRONPoint Mobility Series MC3000 Mobility Controller for 25 Mobility Series Access Points.Dual 10/100/1000 Mbps Gigabit Ethernet uplinks.</t>
  </si>
  <si>
    <t>TRONPoint Mobility Series MC3000 Mobility Controller for 50 Mobility Series Access Points.Dual 10/100/1000 Mbps Gigabit Ethernet uplinks.</t>
  </si>
  <si>
    <t>TRONPoint Mobility Series MC3000 Mobility Controller for 75 Mobility Series Access Points.Dual 10/100/1000 Mbps Gigabit Ethernet uplinks.</t>
  </si>
  <si>
    <t>TRONPoint Mobility Series MC3000 Mobility Controller for 100 Mobility Series Access Points.Dual 10/100/1000 Mbps Gigabit Ethernet uplinks.</t>
  </si>
  <si>
    <t>TRONPoint Mobility Series MC3000 Mobility Controller for 150 Mobility Series Access Points.Dual 10/100/1000 Mbps Gigabit Ethernet uplinks.</t>
  </si>
  <si>
    <t>TRONPoint Mobility Series AP150 Access Point. For use with TRONPoint Mobility Series MC500, MC1000 and MC3000 Mobility Controllers (sold separately). Dual wireless interfaces, one for 802.11a and one for 802.11g/b. Includes wall mounting bracket and screws. Ceiling mounting bracket sold separately. Two dual-band 802.11a/b/g omni-directional antennas included: 2.4 Ghz (4dBi) and 5 Ghz (5 dBi). RP SMA Female connector for optional external antennas. Requires 802.3af power over Ethernet switches or inline power injectors (sold separately).</t>
  </si>
  <si>
    <t>TRONPoint Mobility Series AP200 single radio Access Point for TRONPoint Mobility Series Controllers. Configurable for  802.11a or 802.11g/b support. Includes mounting bracket and screws. Dual band 802.11a/b/g omindirectional antennas: 2.4 Ghz (4dBi) and 5 Ghz (5 dBi). RP SMA Female connector for optional external antennas. Plenum rated when plastic cover is removed.</t>
  </si>
  <si>
    <t>TRONPoint Mobility Series AP 200 single radio wireless Access Point</t>
  </si>
  <si>
    <t>TRONPoint Mobility Series AP200 dual radio Access Point for TRONPoint Mobility Series Controllers. Simultaneous 802.11a and 802.11g/b support. Includes mounting bracket and screws. Dual band 802.11a/b/g omindirectional antennas: 2.4 Ghz (4dBi) and 5 Ghz (5 dBi). RP SMA Female connector for optional external antennas. Plenum rated when plastic cover is removed.</t>
  </si>
  <si>
    <t>TRONPoint Mobility Series AP 200 dual radio wireless Access Point</t>
  </si>
  <si>
    <t>TRONPoint Mobility Series RS4000 Radio Switch with omni-directional antenna. For use with TRONPoint Mobility Series MC500, MC1000 and MC3000 Mobility Controllers (sold separately).  4 wireless interfaces, two for 802.11a and two for 802.11g/b. Includes 2.4GHz &amp; 5GHz 360 Degree Omni-Directional multi-channel antenna, 3ft Antenna Cables and wall/ceiling mounting accessories.</t>
  </si>
  <si>
    <t>TRONPoint Mobility Series RS4000 Radio Switch with 180 degree directional antenna. For use with TRONPoint Mobility Series MC500, MC1000 and MC3000 Mobility Controllers (sold separately).  4 wireless interfaces, two for 802.11a and two for 802.11g/b. Includes 2.4GHz &amp; 5GHz 180 degree Directional multi-channel antenna, 3ft Antenna Cables and wall/ceiling mounting accessories.</t>
  </si>
  <si>
    <t>2.4 GHz 802.11 b/g Ceiling Mount Omindirectional Antenna (5.5 dBi) for TRONPoint Mobility Series AP200 Access Point - 3 foot pigtail and mounting hardware included</t>
  </si>
  <si>
    <t>2.4 GHz 802.11 b/g Ceiling Mount Bi-directional Antenna (4 dBi) for TRONPoint Mobility Series AP200 Access Point - 0.5 foot pigtail and mounting hardware included</t>
  </si>
  <si>
    <t>2.4 GHz 802.11 b/g Directional Panel Antenna (13 dBi) for TRONPoint Mobility Series AP200 Access Point - 1 foot pigtail and mounting hardware is sold seperately</t>
  </si>
  <si>
    <t>2.4 GHz 802.11 b/g Ceiling Mount Omindirectional Diversity Antenna (2.5 dBi) for TRONPoint Mobility Series AP200 Access Point - 3 foot pigtail and mounting hardware included</t>
  </si>
  <si>
    <t>1 Foot RF Extension Cable: RP-SMA-MALE to RP-SMA-FEMALE for TRONPoint Mobility Series AP200 Access Point - Plenum rated</t>
  </si>
  <si>
    <t>3 Foot RF Extension Cable: RP-SMA-MALE to RP-SMA-FEMALE for TRONPoint Mobility Series AP200 Access Point - Plenum rated</t>
  </si>
  <si>
    <t>10 Foot RF Extension Cable: RP-SMA-MALE to RP-SMA-FEMALE for TRONPoint Mobility Series AP200 Access Point - Plenum rated</t>
  </si>
  <si>
    <t>Suspended Ceiling Rail Mounting Kit for TRONPoint Mobility Series AP200 Access Point</t>
  </si>
  <si>
    <t>Above Suspended Ceiling Mounting Kit (T-Bar Hanger) for TRONPoint Mobility Series AP200 Access Point</t>
  </si>
  <si>
    <t>TRONPoint Wireless Location Manager</t>
  </si>
  <si>
    <t>TRON TRONPoint Omni-Directional Patch Antenna - 802.11B/G (2.4 GHZ)</t>
  </si>
  <si>
    <t>TRON TRONPoint Directional Panel Antenna - 802.11 B/G (2.4 GHZ)</t>
  </si>
  <si>
    <t>TRON TRONPower 100 - Single Port Mid Span Power Injector</t>
  </si>
  <si>
    <t>TRON TRONPower 600 - Six Port Mid Span Power Injector</t>
  </si>
  <si>
    <t>TRON TRONPower 600-19" rack installation kit</t>
  </si>
  <si>
    <t>BigTRON RX-16 Chassis 1 MR, 3 SWF3, 4 DC PS and Fan assy</t>
  </si>
  <si>
    <t>BigTRON RX-8 Chassis 1 MR, 2 SFM3, 2 DC Power Supplies and Fan assy</t>
  </si>
  <si>
    <t>BigTRON RX-4 Chassis 1 MR, 2 SFM1, 1 DC Power Supply and Fan assy</t>
  </si>
  <si>
    <t>Management Module BigTRON RX-Series</t>
  </si>
  <si>
    <t>Management Module with 2 GB memory for BigTRON RX-Series</t>
  </si>
  <si>
    <t>Management Module with 2GB memory for BigTRON RX-Series</t>
  </si>
  <si>
    <t>Switch Fabric for BigTRON RX-16 and RX-8 Chassis</t>
  </si>
  <si>
    <t>Switch Fabric for BigTRON RX-4 Chassis</t>
  </si>
  <si>
    <t>Factory configuration to convert RX-BI-MR to RX-BI-MR2 by replacing 512MB SIMM with 2GB SIMM and label.   Add this part number to any order for any of the BigTRON RX pre-configured chassis in order to upgrade the management module from MR to MR2.</t>
  </si>
  <si>
    <t>DC Power Supply for BigTRON RX-8 and RX-16 chassis</t>
  </si>
  <si>
    <t>DC Power Supply for BigTRON RX-4 chassis</t>
  </si>
  <si>
    <t>4-port 10GbE XFP BigTRON RX-Series</t>
  </si>
  <si>
    <t>2-port 10GbE XFP BigTRON RX-Series</t>
  </si>
  <si>
    <t>24-port 1-GE SFP BigTRON RX-Series</t>
  </si>
  <si>
    <t>24-port 10/100/1000Base-T, RJ45 BigTRON RX-Series</t>
  </si>
  <si>
    <t>24-port 100/1000 SFP module for BigTRON RX-Series</t>
  </si>
  <si>
    <t>Spare BigTRON RX-16 Chassis with fan assy, no PS, no switch fabric and no management modules</t>
  </si>
  <si>
    <t>Spare BigTRON RX-8 Chassis with  fan assy, no PS, no switch fabric and no management modules</t>
  </si>
  <si>
    <t>Spare BigTRON RX-4 Chassis with fan assy, no PS, no switch fabric and no management modules</t>
  </si>
  <si>
    <t>Big TRON RX-16 Intake Fan Assembly</t>
  </si>
  <si>
    <t>Big TRON RX-16 Exhaust Fan Assembly Kit, includes two (2) fans</t>
  </si>
  <si>
    <t>BigTRON RX-8 Fan Assembly</t>
  </si>
  <si>
    <t>BigTRON RX-4 Fan Assembly</t>
  </si>
  <si>
    <t>BigTRON RX management module blank panel</t>
  </si>
  <si>
    <t>BigTRON RX interface module blank panel</t>
  </si>
  <si>
    <t>BigTRON RX switch fabric module blank panel for BigTRON RX-16 and RX-8</t>
  </si>
  <si>
    <t>BigTRON RX switch fabric module blank panel for BigTRON RX-4</t>
  </si>
  <si>
    <t>BigTRON RX-16 and RX-8 power supply blank panel</t>
  </si>
  <si>
    <t>BirTRON RX-4 power supply blank panel</t>
  </si>
  <si>
    <t>4-slot BigTRON chassis with single AC power supply</t>
  </si>
  <si>
    <t>4-slot BigTRON chassis with single -48vDC power supply</t>
  </si>
  <si>
    <t>4-slot BigTRON SPARE chassis, NO power supply</t>
  </si>
  <si>
    <t xml:space="preserve">8-slot BigTRON chassis with one single AC power supply </t>
  </si>
  <si>
    <t>8-slot BigTRON chassis with single -48vDC power supply</t>
  </si>
  <si>
    <t>8-slot BigTRON SPARE chassis, NO power supply</t>
  </si>
  <si>
    <t xml:space="preserve">15-slot BigTRON chassis with two (2) AC power supply </t>
  </si>
  <si>
    <t>15-slot BigTRON chassis with two (2) -48vDC power supply</t>
  </si>
  <si>
    <t>15-slot BigTRON SPARE chassis. No power supplies.</t>
  </si>
  <si>
    <t>NetTRON XMR 16000 AC system with 1 management module, 3 switch fabric modules, 4 AC power supplies, intake and exhaust fan assembly kit</t>
  </si>
  <si>
    <t>NetTRON XMR 8000 AC system with 1 management module, 2 switch fabric modules, 2 AC power supplies, fan assembly</t>
  </si>
  <si>
    <t>NetTRON XMR 4000 AC system with 1 management module, 2 switch fabric modules, 1 AC power supplies, fan assembly</t>
  </si>
  <si>
    <t>NetTRON XMR 16000 DC system with 1 management module, 3 switch fabric modules, 4 DC power supplies, intake and exhaust fan assembly kit</t>
  </si>
  <si>
    <t>NetTRON XMR 8000 DC system with 1 management module, 2 switch fabric modules, 2 DC power supplies, fan assembly</t>
  </si>
  <si>
    <t>NetTRON XMR 4000 DC system with 1 management module, 2 switch fabric modules, 1 DC power supplies, fan assembly</t>
  </si>
  <si>
    <t>NetTRON XMR Series management module with 2 GB ECC memory, dual PCMCIA slots, EIA/TIA-232 (RS-232) serial console port and 10/100/1000 Ethernet port for out-of-band management</t>
  </si>
  <si>
    <t>NetTRON XMR Series 4-port 10-GbE module with IPv4/IPv6/MPLS hardware support - requires XFP optics</t>
  </si>
  <si>
    <t>NetTRON XMR Series 2-port 10-GbE module with IPv4/IPv6/MPLS hardware support - requires XFP optics</t>
  </si>
  <si>
    <t>NetTRON XMR Series 20-port FE/GE (100/1000) module with IPv4/IPv6/MPLS hardware support - requires SFP optics</t>
  </si>
  <si>
    <t>NetTRON XMR Series 20-port 10/100/1000 copper module with IPv4/IPv6/MPLS hardware support</t>
  </si>
  <si>
    <t>NetTRON XMR/MLX 2-port OC-192 (STM-64) Packet over SONET/SDH module interface module with IPv4/IPv6/MPLS hardware support. Requires XFP optics.</t>
  </si>
  <si>
    <t>NetTRON XMR/MLX 1-port OC-192 (STM-64) Packet over SONET/SDH module interface module with IPv4/IPv6/MPLS hardware support. Requires XFP optics.</t>
  </si>
  <si>
    <t>NetTRON XMR/MLX 8-port OC-12/48 (STM-4/16) Packet over SONET/SDH module interface module with IPv4/IPv6/MPLS hardware support. Requires SFP optics.</t>
  </si>
  <si>
    <t>NetTRON XMR/MLX 4-port OC-12/48 (STM-4/16) Packet over SONET/SDH module interface module with IPv4/IPv6/MPLS hardware support. Requires SFP optics.</t>
  </si>
  <si>
    <t>NetTRON XMR/MLX 2-port OC-12/48 (STM-4/16) Packet over SONET/SDH module interface module with IPv4/IPv6/MPLS hardware support. Requires SFP optics.</t>
  </si>
  <si>
    <t>NetTRON XMR 16000 chassis with intake and exhaust fan assembly kit</t>
  </si>
  <si>
    <t>NetTRON XMR 8000 chassis with fan assembly</t>
  </si>
  <si>
    <t>NetTRON XMR 4000 chassis with fan assembly</t>
  </si>
  <si>
    <t>NetTRON XMR/MLX switch fabric module for 16- and 8-slot chassis</t>
  </si>
  <si>
    <t>NetTRON XMR/MLX switch fabric module for 4-slot chassis</t>
  </si>
  <si>
    <t>NetTRON XMR/MLX AC power supply for 16- and 8-slot chassis, 1200W</t>
  </si>
  <si>
    <t>NetTRON XMR/MLX AC power supply for 4-slot chassis, 1200W</t>
  </si>
  <si>
    <t>NetTRON XMR/MLX DC power supply for 16- and 8-slot chassis, 1200W</t>
  </si>
  <si>
    <t>NetTRON XMR/MLX DC power supply for 4-slot chassis, 1200W</t>
  </si>
  <si>
    <t>NetTRON XMR/MLX intake fan assembly for 16-slot chassis</t>
  </si>
  <si>
    <t>NetTRON XMR/MLX exhaust fan assembly kit for 16-slot chassis, includes 2 fans</t>
  </si>
  <si>
    <t>NetTRON XMR/MLX fan assembly for 8-slot chassis</t>
  </si>
  <si>
    <t>NetTRON XMR/MLX fan assembly for 4-slot chassis</t>
  </si>
  <si>
    <t>NetTRON XMR/MLX Series management module blank panel</t>
  </si>
  <si>
    <t>NetTRON XMR/MLX management module panel</t>
  </si>
  <si>
    <t>NetTRON XMR/MLX Series interface module blank panel</t>
  </si>
  <si>
    <t>NetTRON XMR/MLX interface module panel</t>
  </si>
  <si>
    <t>NetTRON XMR/MLX switch fabric module blank panel for 16- and 8-slot chassis</t>
  </si>
  <si>
    <t>NetTRON XMR/MLX switch fabric module panel for 16- and 8-slot chassis</t>
  </si>
  <si>
    <t>NetTRON XMR/MLX switch fabric module blank panel for 4-slot chassis</t>
  </si>
  <si>
    <t>NetTRON XMR/MLX switch fabric module panel for 4-slot chassis</t>
  </si>
  <si>
    <t>NetTRON XMR/MLX power supply blank panel for 16- and 8-slot chassis</t>
  </si>
  <si>
    <t>NetTRON XMR/MLX power supply panel for 16- and 8-slot chassis</t>
  </si>
  <si>
    <t>NetTRON XMR/MLX power supply blank panel for 4-slot chassis</t>
  </si>
  <si>
    <t>NetTRON XMR/MLX power supply panel for 4-slot chassis</t>
  </si>
  <si>
    <t>NetTRON XMR/MLX air filter for 16-slot chassis</t>
  </si>
  <si>
    <t>NetTRON XMR/MLX air filter for 8-slot chassis</t>
  </si>
  <si>
    <t>NetTRON XMR/MLX air filter for 4-slot chassis</t>
  </si>
  <si>
    <t>NetTRON MLX-16 AC system with 1 management module, 3 switch fabric modules, 4 AC power supplies, intake and exhaust fan assembly kit</t>
  </si>
  <si>
    <t>NetTRON MLX-8 AC system with 1 management module, 2 switch fabric modules, 2 AC power supplies, fan assembly</t>
  </si>
  <si>
    <t>NetTRON MLX-4 AC system with 1 management module, 2 switch fabric modules, 1 AC power supplies, fan assembly</t>
  </si>
  <si>
    <t>NetTRON MLX-16 DC system with 1 management module, 3 switch fabric modules, 4 DC power supplies, intake and exhaust fan assembly kit</t>
  </si>
  <si>
    <t>NetTRON MLX-8 DC system with 1 management module, 2 switch fabric modules, 2 DC power supplies, fan assembly</t>
  </si>
  <si>
    <t>NetTRON MLX-4 DC system with 1 management module, 2 switch fabric modules, 1 DC power supplies, fan assembly</t>
  </si>
  <si>
    <t>NetTRON MLX Series management module with 1 GB ECC memory, dual PCMCIA slots, EIA/TIA-232 (RS-232) serial console port and 10/100/1000 Ethernet port for out-of-band management</t>
  </si>
  <si>
    <t>NetTRON MLX Series 4-port 10-GbE module with IPv4/IPv6/MPLS hardware support - requires XFP optics</t>
  </si>
  <si>
    <t>NetTRON MLX Series 2-port 10-GbE module with IPv4/IPv6/MPLS hardware support - requires XFP optics</t>
  </si>
  <si>
    <t>NetTRON MLX Series 20-port FE/GE (100/1000) module with IPv4/IPv6/MPLS hardware support - requires SFP optics</t>
  </si>
  <si>
    <t>NetTRON MLX Series 20-port 10/100/1000 copper module with IPv4/IPv6/MPLS hardware support</t>
  </si>
  <si>
    <t>NetTRON MLX-16 chassis with intake and exhaust fan assembly kit</t>
  </si>
  <si>
    <t>NetTRON MLX-8 chassis with fan assembly</t>
  </si>
  <si>
    <t>NetTRON MLX-4 chassis with fan assembly</t>
  </si>
  <si>
    <t>NetTRON M2404 Metro Access Switch with 24-port 10/100 + 2 combo GE access port + 2-port enhanced GE SFP port + 1 AC  PS</t>
  </si>
  <si>
    <t>NetTRON M2404C Metro Access Switch with 1 AC power supply</t>
  </si>
  <si>
    <t>NetTRON M2404 Metro Access Switch with 24-port 10/100 + 2 combo GE access port + 2-port enhanced GE SFP port + 1 DC  PS</t>
  </si>
  <si>
    <t>NetTRON M2404C Metro Access Switch with 1 DC power supply</t>
  </si>
  <si>
    <t>NetTRON M2404 Metro Access Switch with 24-port 100base SFP + 2 combo GE access port + 2-port enhanced GE SFP port + 1 AC  PS</t>
  </si>
  <si>
    <t>NetTRON M2404F Metro Access Switch with 1 AC power supply</t>
  </si>
  <si>
    <t>NetTRON M2404 Metro Access Switch with 24-port 100base SFP + 2 combo GE access port + 2-port enhanced GE SFP port + 1 DC  PS</t>
  </si>
  <si>
    <t>NetTRON M2404F Metro Access Switch with 1 DC power supply</t>
  </si>
  <si>
    <t>NetTRON M2404 Metro Access Switch AC Power Supply (Spare)</t>
  </si>
  <si>
    <t>NetTRON M2404 Spare AC Power Supply</t>
  </si>
  <si>
    <t>NetTRON M2404 Metro Access Switch DC Power Supply (Spare)</t>
  </si>
  <si>
    <t>NetTRON M2404 Spare DC Power Supply</t>
  </si>
  <si>
    <t>4-slot SecureTRONLS chassis equipped with one SSM6 (3BP) management module, one AC power supply, two 16-port 100/1000 Mbps RJ45 Modules, and one 2-port 10 Gigabit XENPAK line module</t>
  </si>
  <si>
    <t>SecureTRONLS Security LAN Switch Management module (LS-SSM6) with 3 security processors. Use this module for dual-active LS-SSM6 in a SecureTRONLS, or for spares.</t>
  </si>
  <si>
    <t>SecureTRONLS Security LAN Switch Management module (LS-SSM6-1) with 1 security processors. Use this module for dual-active LS-SSM6-1 in a SecureTRONLS, or for spares.</t>
  </si>
  <si>
    <t>4-slot SecureTRON chassis equipped with one SSM6-1 (1BP) management module and one AC power supply</t>
  </si>
  <si>
    <t>4-slot SecureTRON chassis equipped with one SSM6-1 (1BP) management module and one -48V DC power supply</t>
  </si>
  <si>
    <t>4-slot SecureTRON chassis equipped with one SSM6 (3BP) management module and one AC power supply</t>
  </si>
  <si>
    <t>4-slot SecureTRON chassis equipped with one SSM6 (3BP) management module and one -48V DC power supply</t>
  </si>
  <si>
    <t>4-slot SecureTRON chassis equipped with one AC power supply</t>
  </si>
  <si>
    <t>Empty 4-slot SecureTRON chassis (NO Power Supply)</t>
  </si>
  <si>
    <t>SecureTRON Security Switch Management module (SSM6) with 3 security processors. Use this module for dual-active SSM6 in a SecureTRON, or for spares and performance upgrades.</t>
  </si>
  <si>
    <t>SecureTRON Security Switch Management module (SSM6-1) with 1 security processor. Use this module for dual-active SSM6-1 in a SecureTRON, or for spares.</t>
  </si>
  <si>
    <t xml:space="preserve">1.5 RU fixed configuration ServerTRON with 4-port combo (fiber &amp; copper) and one AC power supply (RPS5)   </t>
  </si>
  <si>
    <t xml:space="preserve">1.5 RU fixed configuration ServerTRON with 4-port combo (fiber &amp; copper) and 1 AC power supply (RPS5)   </t>
  </si>
  <si>
    <t>1.5 RU fixed configuration ServerTRON with 4-port combo (fiber &amp; copper) and one AC power supply (RPS5) featuring Layer 3 and/or GSLB TrafficWorks Premium Upgrade</t>
  </si>
  <si>
    <t>1.5 RU fixed configuration ServerTRON with 4-port combo (fiber &amp; copper) and one -48V DC power supply (RPS5DC)</t>
  </si>
  <si>
    <t xml:space="preserve">1.5 RU fixed configuration ServerTRON with 4-port combo (fiber &amp; copper) and 1 DC power supply (RPS5)   </t>
  </si>
  <si>
    <t>1.5 RU fixed configuration ServerTRON with 4-port combo (fiber &amp; copper) and one -48V DC power supply (RPS5DC) featuring Layer 3 and/or GSLB TrafficWorks Premium Upgrade</t>
  </si>
  <si>
    <t>1.5 RU fixed configuration SSL-integrated ServerTRON with 4-port combo (fiber &amp; copper) and one AC power supply (RPS5)</t>
  </si>
  <si>
    <t>1.5 RU fixed configuration SSL-integrated ServerTRON with 4-port combo (fiber &amp; copper) and 1 AC power supply (RPS5)</t>
  </si>
  <si>
    <t>1.5 RU fixed configuration SSL-integrated ServerTRON with 4-port combo (fiber &amp; copper) and one AC power supply (RPS5) featuring Layer 3 and/or GSLB TrafficWorks Premium Upgrade</t>
  </si>
  <si>
    <t>1.5 RU fixed configuration SSL-integrated ServerTRON with 4-port combo (fiber &amp; copper) and one -48V DC power supply (RPS5DC)</t>
  </si>
  <si>
    <t>1.5 RU fixed configuration SSL-integrated ServerTRON with 4-port combo (fiber &amp; copper) and 1 DC power supply (RPS5)</t>
  </si>
  <si>
    <t>1.5 RU fixed configuration SSL-integrated ServerTRON with 4-port combo (fiber &amp; copper) and one -48V DC power supply (RPS5DC) featuring Layer 3 and/or GSLB TrafficWorks Premium Upgrade</t>
  </si>
  <si>
    <t>Premium Layer 3 Routing and Global Server Load Balancing (GSLB) TrafficWorks upgrade for ServerTRON 4G Series Systems</t>
  </si>
  <si>
    <t>220W, AC power supply for ServerTRON 4G</t>
  </si>
  <si>
    <t>220W, -48vDC power supply for ServerTRON 4G</t>
  </si>
  <si>
    <t xml:space="preserve">ServerTRONXL 16-p 10/100 </t>
  </si>
  <si>
    <t xml:space="preserve">ServerTRONXL 24-p 10/100 </t>
  </si>
  <si>
    <t>ServerTRONXL 16-p 10/100 DC</t>
  </si>
  <si>
    <t>ServerTRONXL 24-p 10/100 DC</t>
  </si>
  <si>
    <t>Redundant auto-switching 90-240v AC power supply for FWS24, NSR16/24, and ServerTRONXL 8/16/24 only</t>
  </si>
  <si>
    <t>(International Orders Only) Redundant auto-switching 90-240v AC power supply for FWS24, NSR16/24, and ServerTRONXL 8/16/24 only</t>
  </si>
  <si>
    <t>-48vDC power supply for FWS24, NSR16/24, and ServerTRONXL 8/16/24 only and is a FACTORY CONFIGURATION ONLY</t>
  </si>
  <si>
    <t>3-slot 2U High ServerTRON chassis equipped with one WSM7, one AC power supply, and one 2-port 10 Gigabit B10Gx2 line module</t>
  </si>
  <si>
    <t xml:space="preserve">ServerTRON GT-C10Gx2  </t>
  </si>
  <si>
    <t>3-slot 2U High ServerTRON chassis equipped with one WSM7, one -48V RPS8 DC PS, and one 2-port 10 Gigabit B10Gx2 line module</t>
  </si>
  <si>
    <t>4-slot ServerTRON chassis equipped with one WSM7, one AC power supply, and one 2-port 10 Gigabit B10Gx2 line module</t>
  </si>
  <si>
    <t xml:space="preserve">ServerTRON GT-E10Gx2  </t>
  </si>
  <si>
    <t>4-slot ServerTRON chassis equipped with one WSM7, one -48V RPS3DC PS, and one 2-port
10 Gigabit B10Gx2 line module</t>
  </si>
  <si>
    <t>2-Port 10 Gigabit ServerTRONGT E-Series with 3BP WSM6</t>
  </si>
  <si>
    <t>2-Port 10 Gigabit ServerTRONGT E-Series with 3BP WSM6 (DC Power)</t>
  </si>
  <si>
    <t>3-slot 2U High ServerTRON chassis equipped with one ultra high performance WSM7 and one AC power supply</t>
  </si>
  <si>
    <t>3-slot 2U High ServerTRON chassis equipped with one ultra high performance WSM7 and one -48V DC power supply</t>
  </si>
  <si>
    <t>4-slot ServerTRON chassis equipped with one ultra high performance WSM7 and one AC power supply</t>
  </si>
  <si>
    <t>4-slot ServerTRON chassis equipped with one ultra high performance WSM7 and one -48V DC power supply</t>
  </si>
  <si>
    <t>8-slot ServerTRON chassis equipped with one ultra high performance WSM7 and one AC power supply</t>
  </si>
  <si>
    <t>8-slot ServerTRON chassis equipped with one ultra high performance WSM7 and one -48V DC power supply</t>
  </si>
  <si>
    <t>3-slot 2U High ServerTRON chassis equipped with one WSM6 and one AC power supply</t>
  </si>
  <si>
    <t>3-slot 2U High ServerTRON chassis equipped with one WSM6 and one -48V DC power supply</t>
  </si>
  <si>
    <t>4-slot ServerTRON chassis with a WSM6 (Web Switching Management Module)</t>
  </si>
  <si>
    <t>4-slot -48V DC ServerTRON chassis with a WSM6 (Web Switching Management Module)</t>
  </si>
  <si>
    <t>8-slot ServerTRON chassis with a WSM6 (Web Switching Management Module)</t>
  </si>
  <si>
    <t>8-slot -48V DC ServerTRON chassis with a WSM6 (Web Switching Management Module)</t>
  </si>
  <si>
    <t>2-port Gigabit (SFP) ServerTRONGT C-Series 3-slot 2U Chassis with 1BP WSM6-1 management</t>
  </si>
  <si>
    <t>16-Port 100/1000 Mbps Copper ServerTRONGT C-Series 3-slot 2U chassis with 1BP WSM6-1 management</t>
  </si>
  <si>
    <t>24-Port 10/100 and 4-port Gigabit (CF) ServerTRONGT C-Series 3-slot 2U Chassis with 1BP WSM6-1 management</t>
  </si>
  <si>
    <t>2-port Gigabit (mini GBIC) ServerTRONGT C-Series 3-slot 2U Chassis with 1BP WSM6-SSL-1 integrated SSL management</t>
  </si>
  <si>
    <t>16-Port 100/1000 Mbps Copper ServerTRONGT C-Series 3-slot 2U chassis with 1BP WSM6-SSL-1 integrated SSL management</t>
  </si>
  <si>
    <t>24-Port 10/100 and 4-port Gigabit (CF) ServerTRONGT C-Series 3-slot 2U Chassis with 1BP WSM6-SSL-1 integrated SSL management</t>
  </si>
  <si>
    <t>3-slot 2U High ServerTRON chassis equipped with one WSM6-SSL-1 (Web Switching Management Module with ONE BP and integrated SSL acceleration), and one AC power supply</t>
  </si>
  <si>
    <t>3-slot 2U High ServerTRON chassis equipped with one WSM6-SSL-2 (Web Switching Management Module with TWO BP and integrated SSL acceleration), and one AC power supply</t>
  </si>
  <si>
    <t>2-Port Gigabit ServerTRONGT E-Series with 1BP WSM6-1</t>
  </si>
  <si>
    <t>2-Port Gigabit ServerTRONGT E-Series with 1BP WSM6-1 (DC Power)</t>
  </si>
  <si>
    <t>16-Port 100/1000 Mbps Copper ServerTRONGT E-Series with 1BP WSM6-1</t>
  </si>
  <si>
    <t>16-Port 100/1000 Mbps Copper ServerTRONGT E-Series with 1BP WSM6-1 (-48 V DC Power Supply)</t>
  </si>
  <si>
    <t>24-Port 10/100 and 4-port Gigabit (CF) ServerTRONGT E-Series with 1BP WSM6-1</t>
  </si>
  <si>
    <t>24-Port 10/100 and 4-port Gigabit (CF) ServerTRONGT E-Series with 1BP WSM6-1 with -48V DC Power</t>
  </si>
  <si>
    <t>4-Port Gigabit ServerTRONGT E-Series with 2BP WSM6-2</t>
  </si>
  <si>
    <t>4-Port Gigabit ServerTRONGT E-Series with 2BP WSM6-2 (DC Power)</t>
  </si>
  <si>
    <t>24-Port 10/100 and 4-port Gigabit (CF) ServerTRONGT E-Series PLUS with 2BP WSM6-2</t>
  </si>
  <si>
    <t>24-Port 10/100 and 4-port Gigabit (CF) ServerTRONGT E-Series PLUS with 2BP WSM6-2 (-48 V DC Power Supply)</t>
  </si>
  <si>
    <t>16-Port 100/1000 Mbps Copper ServerTRONGT E-Series PLUS with 2BP WSM6-2</t>
  </si>
  <si>
    <t>16-Port 100/1000 Mbps Copper ServerTRONGT E-Series PLUS with 2BP WSM6-2 (-48 V DC Power Supply)</t>
  </si>
  <si>
    <t>600W, AC power supply for 3-slot 2U high compact ServerTRON chassis only (GT-C and 350)</t>
  </si>
  <si>
    <t>3-slot 2U High ServerTRON chassis equipped with one AC power supply (no management)</t>
  </si>
  <si>
    <t>3-slot 2U High ServerTRON chassis equipped with one -48V DC power supply (no management)</t>
  </si>
  <si>
    <t>3-slot 2U High ServerTRON chassis (no power supply and no management)</t>
  </si>
  <si>
    <t>4-slot ServerTRON chassis with single AC power supply</t>
  </si>
  <si>
    <t>4-slot ServerTRON chassis with single -48V DC power supply</t>
  </si>
  <si>
    <t>4-slot ServerTRON SPARE chassis, NO Power supply</t>
  </si>
  <si>
    <t>8-slot ServerTRON chassis with single AC power supply</t>
  </si>
  <si>
    <t>8-slot ServerTRON chassis with single -48V DC power supply</t>
  </si>
  <si>
    <t>8-slot ServerTRON SPARE chassis, NO Power supply</t>
  </si>
  <si>
    <t>Premium Layer 3 Routing and Global Server Load Balancing (GSLB) TrafficWorks upgrade for ServerTRON 350/450/850 Systems</t>
  </si>
  <si>
    <t>Premium Layer 3 Routing and Global Server Load Balancing (GSLB) TrafficWorks upgrade for ServerTRONGT C and E Series Systems</t>
  </si>
  <si>
    <t>TRONView Network Management for Windows NT, Windows 2000, and Windows/XP.</t>
  </si>
  <si>
    <t>TRONView Network Management for Solaris.</t>
  </si>
  <si>
    <t>TRONView Network Management for LINUX</t>
  </si>
  <si>
    <t>TRONView Network Manager, TRONPoint Edition</t>
  </si>
  <si>
    <t>TRONPOINT MANAGEMENT SOFTWARE</t>
  </si>
  <si>
    <t>Mid-mount Rack Mount Kit for BigTRON RX-4 and NetTRON MLX-4 or XMR-4000 chassis</t>
  </si>
  <si>
    <t>Mid-mount Rack Mount Kit for BigTRON RX-8 and NetTRON MLX-8 or XMR-8000 chassis</t>
  </si>
  <si>
    <t>Mid-mount Rack Mount Kit for BigTRON RX-16 and NetTRON MLX-16 or XMR-16000 Chassis</t>
  </si>
  <si>
    <t>Wooden shipping crate for BigTRON RX 16 chassis</t>
  </si>
  <si>
    <t>Wooden shipping crate for NetTRON MLX 16 chassis</t>
  </si>
  <si>
    <t xml:space="preserve">Router Software Updates (for NetTRON, TurboTRON/8 and TurboTRON) </t>
  </si>
  <si>
    <t>SW Update, Turbo/8, FI2, BigTRON</t>
  </si>
  <si>
    <t>Router Software Updates for Chassis-based Layer 3 systems (for BigTRON)</t>
  </si>
  <si>
    <t>ServerTRON and ServerTRONXL Software Updates</t>
  </si>
  <si>
    <t>ServerTRONXL/G Software Updates</t>
  </si>
  <si>
    <t>Yearly Software Support fee for TRONView Network Manager, allowing for minor and major "dot" or sub-release software upgrades and maintenance upgrades.</t>
  </si>
  <si>
    <t>Power supply panel for the FES Switch family, FES X Series, FastTRON Workgroup X Series, and the FastTRON GS</t>
  </si>
  <si>
    <t>The FastTRON LS 624 supports twenty-four 10/100/1000 Mbps RJ-45 Ethernet ports.  Four ports are implemented as combination RJ45-SFP ports in which the port may be used as either a copper 10/100/1000 Mbps Ethernet or as a fiber 100/1000 Mbps when using an SFP transceiver in the corresponding SFP port.   The FastTRON LS 624 includes three 10-Gigabit Ethernet slots each configurable with a single-port XFP-based 10-Gigabit Ethernet module (part # FLS-1XG).</t>
  </si>
  <si>
    <t>The FastTRON LS 648 supports forty-eight 10/100/1000 Mbps RJ-45 Ethernet ports.  Four ports are implemented as combination RJ45-SFP ports in which the port may be used as either a copper 10/100/1000 Mbps Ethernet or as a fiber 100/1000 Mbps when using an SFP transceiver in the corresponding SFP port.   The FastTRON LS 648 includes two 10-Gigabit Ethernet slots each configurable with a single-port XFP-based 10-Gigabit Ethernet module (part # FLS-1XG).</t>
  </si>
  <si>
    <t xml:space="preserve">FastTRON LS field installable 1-port XFP 10 Gigabit Ethernet module. Applicable only for the FastTRON LS 624 and the FastTRON LS 648. </t>
  </si>
  <si>
    <t>FastTRON GS includes 24-port 10/100/1000 with 4-port Combo copper/fiber Gigabit Ethernet ports for use with 10/100/1000 Mbps (RJ45) or 100/1000 Ethernet Fiber (SFP) connectivity and one modular AC power supply. Unit can be upgraded to support 802.3af PoE with the addition of a PoE DIMM (Part # FGS-24GCPOE). Unit includes an open slot for an optional 2-port 10 Gigabit Ethernet module.</t>
  </si>
  <si>
    <t>FastTRON GS includes 24-port 10/100/1000 with 4-port Combo copper/fiber Gigabit Ethernet ports for use with 10/100/1000 Mbps (RJ45) or 100/1000 Ethernet Fiber (SFP) connectivity and one modular DC power supply. Unit can be upgraded to support 802.3af PoE with the addition of a PoE DIMM (Part # FGS-24GCPOE). Unit includes an open slot for an optional 2-port 10 Gigabit Ethernet module.</t>
  </si>
  <si>
    <t>FastTRON GS includes 24-port 10/100/1000 with 4-port Combo copper/fiber Gigabit Ethernet ports for use with 10/100/1000 Mbps (RJ45) or 100/1000 Ethernet Fiber (SFP) connectivity and one modular AC power supply. Unit supports 802.3af PoE. Unit includes an open slot for an optional 2-port 10 Gigabit Ethernet module.</t>
  </si>
  <si>
    <t>FastTRON GS includes 24-port 10/100/1000 with 4-port Combo copper/fiber Gigabit Ethernet ports for use with 10/100/1000 Mbps (RJ45) or 100/1000 Ethernet Fiber (SFP) connectivity and one modular DC power supply. Unit supports 802.3af PoE. Unit includes an open slot for an optional 2-port 10 Gigabit Ethernet module.</t>
  </si>
  <si>
    <t xml:space="preserve">FastTRON GS includes 24-port 10/100/1000 802.3af upgradeable with 4-port Combo copper/fiber Gigabit Ethernet ports for use with 10/100/1000 Mbps (RJ45) or 100/1000 Ethernet Fiber (SFP) connectivity, 1-port XFP 10 Gigabit Ethernet, and one modular AC power supply. Unit includes an open slot for an optional 2-port 10 Gigabit Ethernet module. </t>
  </si>
  <si>
    <t xml:space="preserve">FastTRON GS includes 24-port 10/100/1000 802.3af with 4-port Combo copper/fiber Gigabit Ethernet ports for use with 10/100/1000 Mbps (RJ45) or 100/1000 Ethernet Fiber (SFP) connectivity, 1-port XFP 10 Gigabit Ethernet, and one modular AC power supply. Unit includes an open slot for an optional 2-port 10 Gigabit Ethernet module. </t>
  </si>
  <si>
    <t>FastTRON GS includes 48-port 10/100/1000 with 4-port Combo copper/fiber Gigabit Ethernet ports for use with 10/100/1000 Mbps (RJ45) or 100/1000 Ethernet Fiber (SFP) connectivity and one modular AC power supply. Unit can be upgraded to support 802.3af PoE with the addition of two PoE DIMMs (Part # FGS-24GCPOE). Unit includes an open slot for an optional 2-port 10 Gigabit Ethernet module.</t>
  </si>
  <si>
    <t>FastTRON GS includes 48-port 10/100/1000 with 4-port Combo copper/fiber Gigabit Ethernet ports for use with 10/100/1000 Mbps (RJ45) or 100/1000 Ethernet Fiber (SFP) connectivity and one modular DC power supply. Unit can be upgraded to support 802.3af PoE with the addition of two PoE DIMM (Part # FGS-24GCPOE). Unit includes an open slot for an optional 2-port 10 Gigabit Ethernet module.</t>
  </si>
  <si>
    <t>FastTRON GS includes 48-port 10/100/1000 with 4-port Combo copper/fiber Gigabit Ethernet ports for use with 10/100/1000 Mbps (RJ45) or 100/1000 Ethernet Fiber (SFP) connectivity one modular AC power supply. Unit supports 802.3af PoE. Unit includes an open slot for an optional 2-port 10 Gigabit Ethernet module.</t>
  </si>
  <si>
    <t>FastTRON GS includes 48-port 10/100/1000 with 4-port Combo copper/fiber Gigabit Ethernet ports for use with 10/100/1000 Mbps (RJ45) or 100/1000 Ethernet Fiber (SFP) connectivity one modular DC power supply. Unit supports 802.3af PoE. Unit includes an open slot for an optional 2-port 10 Gigabit Ethernet module.</t>
  </si>
  <si>
    <t xml:space="preserve">FastTRON GS installable 2-port XFP 10 Gigabit Ethernet module. Applicable only for the FGS624P, FGS648P, FGS624P-POE, FGS648P-POE and respective DC versions. </t>
  </si>
  <si>
    <t>FastTRON GS installable 2-port CX4 10 Gigabit Ethernet module. Applicable only for the FastTRON GS 624P-POE, 624XGP, 624XGP-POE, 648P, and 648P-POE. CX4 cable (0.5m) is included.</t>
  </si>
  <si>
    <t>FastTRON GS installable 2-port CX4 10 Gigabit Ethernet module.  CX4 cable (0.5m) is included.</t>
  </si>
  <si>
    <t xml:space="preserve">FastTRON GS installable 1-port CX4 10 Gigabit Ethernet and 1-port XFP 10 Gigabit Ethernet module. Applicable only for the FastTRON GS 624P-POE, 624XGP, 624XGP-POE, 648P, and 648P-POE. </t>
  </si>
  <si>
    <t xml:space="preserve">FastTRON GS installable 1-port CX4 10 Gigabit Ethernet and 1-port XFP 10 Gigabit Ethernet module. </t>
  </si>
  <si>
    <t>Slot 2 Label for the FastTRON GS and POE version.</t>
  </si>
  <si>
    <t>FastTRON Workgroup X424 with L2 SW. Includes 24 10/100/1000 ports (RJ-45) with 4-port SFP for fiber optics (SX, LX, LHA, and CWDM), and one AC power supply.</t>
  </si>
  <si>
    <t>FastTRON Workgroup X424 with L2 SW. Includes 24 10/100/1000 ports (RJ-45) and 4-port SFP for fiber optics (SX, LX, LHA, and CWDM), and one DC power supply.</t>
  </si>
  <si>
    <t>FastTRON Workgroup X424 with L2 SW. Includes 24 10/100/1000 ports (RJ-45) with 4-port SFP for fiber optics (SX, LX, LHA, and CWDM), 1-slot XFP 10GbE module and one AC power supply.</t>
  </si>
  <si>
    <t>FastTRON Workgroup X424 with L2 SW. Includes 24 10/100/1000 ports (RJ-45), 4-port SFP for fiber optics (SX, LX, LHA, and CWDM), 1-slot XFP 10GbE module and one DC power supply.</t>
  </si>
  <si>
    <t>FastTRON Workgroup X424 with L2 SW. Includes 24 10/100/1000 ports (RJ-45) with 4-port SFP for fiber optics (SX, LX, LHA, and CWDM), 2-slot XFP 10GbE module and one AC power supply.</t>
  </si>
  <si>
    <t>FastTRON Workgroup X424 with L2 SW. Includes 24 10/100/1000 ports (RJ-45), 4-port SFP for fiber optics (SX, LX, LHA, and CWDM), 2-slot XFP 10GbE module and one DC power supply.</t>
  </si>
  <si>
    <t>FastTRON Workgroup X448 with L2 SW. Includes 48 10/100/1000 ports (RJ-45) with 4-port SFP for fiber optics (SX, LX, LHA, and CWDM), and one AC power supply.</t>
  </si>
  <si>
    <t>FastTRON Workgroup X448 includes 48-port 10/100/1000 (RJ-45) with 4-port Combo copper/fiber Gigabit Ethernet ports 10/100/1000 Mbps (RJ45) or Gigabit Ethernet Fiber (SFP) connectivity per port, 400 MHz processor, 128 MB SDRAM, and one DC power supply. Software includes advanced Layer 2 services (static routes and RIP advertisement). SFP optics or mini-GBICs must be purchased separately and are shipped separately.</t>
  </si>
  <si>
    <t>FastTRON Workgroup X448 with L2 SW. Includes 48 10/100/1000 ports (RJ-45) with 4-port SFP for fiber optics (SX, LX, LHA, and CWDM), 1-slot XFP 10GbE module, and one AC power supply.</t>
  </si>
  <si>
    <t>FastTRON Workgroup X448 includes 48-port 10/100/1000 (RJ-45) with 4-port Combo copper/fiber Gigabit Ethernet ports 10/100/1000 Mbps (RJ45) or Gigabit Ethernet Fiber (SFP) connectivity per port, 400 MHz processor, 1-port XFP 10 Gigabit Ethernet, 128 MB SDRAM, and one DC power supply. Software includes advanced Layer 2 services (static routes and RIP advertisement). XFP optics, and SFP optics or mini-GBICs must be purchased separately and are shipped separately.</t>
  </si>
  <si>
    <t>FastTRON Workgroup X448 with L2 SW. Includes 48 10/100/1000 ports (RJ-45) with 4-port SFP for fiber optics (SX, LX, LHA, and CWDM), 2-slot XFP 10GbE module, and one AC power supply.</t>
  </si>
  <si>
    <t>FastTRON Workgroup X448 includes 48-port 10/100/1000 (RJ-45) with 4-port Combo copper/fiber Gigabit Ethernet ports 10/100/1000 Mbps (RJ45) or Gigabit Ethernet Fiber (SFP) connectivity per port, 2-port XFP 10 Gigabit Ethernet, 400 MHz processor, 128 MB SDRAM, and one DC power supply. Software includes advanced Layer 2 services (static routes and RIP advertisement). XFP optics, and SFP optics or mini-GBICs must be purchased separately and are shipped separately.</t>
  </si>
  <si>
    <t>FastTRON SuperX Chassis with Fan tray and one (1) AC Power Supply</t>
  </si>
  <si>
    <t>FastTRON SX includes Fan and 1 AC PS</t>
  </si>
  <si>
    <t>FastTRON SuperX Chassis with fan tray and one (1) DC power supply.</t>
  </si>
  <si>
    <t>FastTRON SuperX chassis bundle with 84 ports of 10/100/1000 Mbps Ethernet: one 8-slot FI SuperX chassis, one AC power supply, one fan tray module, one M1 management module with 12 combo copper/fiber Gigabit Ethernet ports, three 24-port 10/100/1000 Mbps RJ45 (SX-FI424C) Ethernet modules, included software features advanced Layer 2 and Base Layer 3 services (static routes and RIP advertisement)</t>
  </si>
  <si>
    <t>FastTRON SuperX chassis bundle with 84 ports of 10/100/1000 Mbps Ethernet: one 8-slot FI SuperX chassis, one DC power supply, one fan tray module, one M1 management module with 12 combo copper/fiber Gigabit Ethernet ports, three 24-port 10/100/1000 Mbps RJ45 (SX-FI424C) Ethernet modules, included software features advanced Layer 2 and Base Layer 3 services (static routes and RIP advertisement)</t>
  </si>
  <si>
    <t>FastTRON SuperX chassis bundle with 84 ports of 10/100/1000 Mbps Ethernet: one 8-slot FI SuperX chassis, one AC power supply, one fan tray module, one M1 management module with 12 combo copper/fiber Gigabit Ethernet ports, three 24-port 10/100/1000 Mbps RJ45 (SX-FI424C) Ethernet modules, included software features advanced Layer 2 and Full Layer 3 services (BGP-4, OSPF, RIP, VRRP, VRRPE, DVMRP, PIM-SM and PIM-DM)</t>
  </si>
  <si>
    <t>FastTRON SuperX chassis bundle with 84 ports of 10/100/1000 Mbps Ethernet: one 8-slot FI SuperX chassis, one DC power supply, one fan tray module, one M1 management module with 12 combo copper/fiber Gigabit Ethernet ports, three 24-port 10/100/1000 Mbps RJ45 (SX-FI424C) Ethernet modules, included software features advanced Layer 2 and Full Layer 3 services (BGP-4, OSPF, RIP, VRRP, VRRPE, DVMRP, PIM-SM and PIM-DM)</t>
  </si>
  <si>
    <t>FastTRON SX 800 chassis bundle includes one SX 800 8-slot chassis (FI-SX800-S), two Switch Fabric module (SX-FISF), one system power supply (SX-ACPWR-SYS), nine interface panels (SX-FI-IFPNL), three power supply panels (SX-PWR-PNL), and one fan tray (SX-SX800-FAN).</t>
  </si>
  <si>
    <t>FastTRON SX 1600 chassis bundle includes one SX 1600 16-slot chassis (FI-SX1600-S), two Switch Fabric Module (SX-FISF), two system power supply (SX-ACPWR-SYS), seventeen interface cover panels (SX-FI-IFPNL), six power supply cover panels (SX-PWR-PNL), one SX 1600 filter (SX-SX1600-FILTER), and two fan trays that includes fans (SX-SX1600-FAN).</t>
  </si>
  <si>
    <t>FastTRON SX 800 chassis bundle includes one SX 800 8-slot chassis (FI-SX800-S), two Switch Fabric module (SX-FISF), one system power supply (SX-DCPWR-SYS), nine interface panels (SX-FI-IFPNL), three power supply panels (SX-PWR-PNL), and one fan tray (SX-SX800-FAN).</t>
  </si>
  <si>
    <t>FastTRON SX 800 chassis bundle, which includes 1 AC power supply and 1 switch fabric.</t>
  </si>
  <si>
    <t>FastTRON SX 800 chassis bundle, which includes 1 DC power supply and 1 switch fabric.</t>
  </si>
  <si>
    <t>FastTRON SX 1600 chassis bundle includes one SX 1600 16-slot chassis (FI-SX1600-S), two Switch Fabric Module (SX-FISF), two system power supply (SX-DCPWR-SYS), seventeen interface cover panels (SX-FI-IFPNL), six power supply cover panels (SX-PWR-PNL), one SX 1600 filter (SX-SX1600-FILTER), and two fan trays that includes fans (SX-SX1600-FAN).</t>
  </si>
  <si>
    <t>FastTRON SX 1600 chassis bundle, which includes 2 AC system power supply and 1 switch fabric.</t>
  </si>
  <si>
    <t>FastTRON SX 1600 chassis bundle, which includes 2 DC system power supply and 1 switch fabric.</t>
  </si>
  <si>
    <t>Full Layer 3 Upgrade Kit for the FastTRON SuperX family. Software includes advanced Layer 2 and full Layer 3 services (BGP-4, OSPF, RIP, VRRP, VRRPE, DVMRP, PIM-SM and PIM-DM).</t>
  </si>
  <si>
    <t>FastTRON SuperX Management-1 module with 12 combo copper / fiber Gigabit Ethernet ports (10/100/1000 Mbps (RJ45) or Gigabit Ethernet Fiber (SFP) connectivity per port), 400 MHz processor and 256 MB SDRAM.  Software includes advanced Layer 2 and Base Layer 3 services (static routes and RIP advertisement).</t>
  </si>
  <si>
    <t>FastTRON SuperX Management-2 module with 12 combo copper / fiber Gigabit Ethernet ports (10/100/1000 Mbps (RJ45) or Gigabit Ethernet Fiber (SFP) connectivity per port), 466 MHz processor and 512 MB SDRAM.  Software includes advanced Layer 2 and Base Layer 3 services (static routes and RIP advertisement).</t>
  </si>
  <si>
    <t>FastTRON SuperX Management-1 module with 12 combo copper / fiber Gigabit Ethernet ports (10/100/1000 Mbps (RJ45) or Gigabit Ethernet Fiber (SFP) connectivity per port), 400 MHz processor and 256 MB SDRAM.  Software includes advanced Layer 2 and full Layer 3 services (BGP-4, OSPF, RIP, VRRP, VRRPE, DVMRP, PIM-SM and PIM-DM).</t>
  </si>
  <si>
    <t>FastTRON SuperX Management-2 module with 12 combo copper / fiber Gigabit Ethernet ports (10/100/1000 Mbps (RJ45) or Gigabit Ethernet Fiber (SFP) connectivity per port), 466 MHz processor and 512 MB SDRAM.  Software includes advanced Layer 2 and full Layer 3 services (BGP-4, OSPF, RIP, VRRP, VRRPE, DVMRP, PIM-SM and PIM-DM).</t>
  </si>
  <si>
    <t>M3 Management module for the FastTRON SX 800 and SX 1600 chassis.  This management module includes one Ethernet management port and one serial console port.  There are no user traffic ports supported on this module.  To configure 1:1 management module redundancy, two of the same type of management modules must be installed in the chassis.  The loaded software image supports advanced Layer 2 and Base Layer 3 services (static routes and RIP advertisement).</t>
  </si>
  <si>
    <t>M3 Management module for the FastTRON SX 800 and SX 1600 chassis.  This management module includes one Ethernet management port and one serial console port.  There are no user traffic ports supported on this module.  To configure 1:1 management module redundancy, two of the same type of management modules must be installed in the chassis.  The loaded software image supports advanced Layer 2 and Base Layer 3 services (static routes and RIP advertisement).  The loaded software image supports advanced Layer 2 and Full Layer 3 services (BGP-4, OSPF, RIP, VRRP, VRRPE, DVMRP, PIM-SM and PIM-DM).</t>
  </si>
  <si>
    <t>M4 Management module for the FastTRON SX 800 and SX 1600 chassis.  This management module includes one Ethernet management port, one serial console port and two 10-Gigabit Ethernet ports for user traffic.  The 10-GE ports support pluggable XFP transceivers.  These transceivers must be purchased separately.  To configure 1:1 management module redundancy, two of the same type of management modules must be installed in the chassis.  The loaded software image supports advanced Layer 2 and Base Layer 3 services (static routes and RIP advertisement).</t>
  </si>
  <si>
    <t>M4 Management module for the FastTRON SX 800 and SX 1600 chassis.  This management module includes one Ethernet management port, one serial console port and two 10-Gigabit Ethernet ports for user traffic.  The 10-GE ports support pluggable XFP transceivers.  These transceivers must be purchased separately.  To configure 1:1 management module redundancy, two of the same type of management modules must be installed in the chassis.  The loaded software image supports advanced Layer 2 and Base Layer 3 services (static routes and RIP advertisement).  The loaded software image supports advanced Layer 2 and Full Layer 3 services (BGP-4, OSPF, RIP, VRRP, VRRPE, DVMRP, PIM-SM and PIM-DM).</t>
  </si>
  <si>
    <t>2-port CX4 FastTRON SuperX module bundle. Includes one SX-FI2XG and two 10G-XFP-CX4.</t>
  </si>
  <si>
    <t>24-port 10/100/1000 Gigabit Ethernet module for FastTRON SuperX family</t>
  </si>
  <si>
    <t>24-port 10/100/1000 Gigabit Ethernet with POE installed module for FastTRON SuperX family</t>
  </si>
  <si>
    <t>24-port SFP based Gigabit Ethernet  module for FastTRON SuperX family</t>
  </si>
  <si>
    <t>24-port 100/1000 SFP based Fiber Ethernet  module for FastTRON SuperX family</t>
  </si>
  <si>
    <t>2-port XFP 10 Gigabit Ethernet module for FastTRON SuperX family</t>
  </si>
  <si>
    <t>2-port LAN/WAN XFP 10 Gigabit Ethernet module for the FastTRON SuperX family. XFP optics are required and must be purchased separately.</t>
  </si>
  <si>
    <t>90-240 VAC power supply for the FastTRON SuperX family</t>
  </si>
  <si>
    <t>DC Power Supply for the FastTRON SuperX family</t>
  </si>
  <si>
    <t>DC POE power supply for the FastTRON SuperX family</t>
  </si>
  <si>
    <t>FSX 2500W 220V POE PS for the FastTRON SuperX family</t>
  </si>
  <si>
    <t>Australian Power Cord for the FastTRON SuperX family</t>
  </si>
  <si>
    <t>FastTRON SuperX 8-slot Chassis only</t>
  </si>
  <si>
    <t>FastTRON SX 800 spare chassis.</t>
  </si>
  <si>
    <t>FastTRON SX 1600 spare chassis.</t>
  </si>
  <si>
    <t>FastTRON SuperX Fan Tray and Assembly</t>
  </si>
  <si>
    <t>Switch Fabric Module for the FastTRON SX 800 and the FastTRON SX 1600. Two are required to ensure high performance and high availability.</t>
  </si>
  <si>
    <t>48-port 10/100/1000Base-T, MRJ21 module for BigTRON RX-Series. Visit www.tycoelecTRONics.com/products/MRJ21 for information on available products, pricing and where to buy MRJ21 cabling and patch panels.</t>
  </si>
  <si>
    <t>BigTRON and FastTRON POE power supply shelf</t>
  </si>
  <si>
    <t>FastTRON stackable long rack ears. Applicable for the FES Products, FastTRON Workgroup X Series products, FES X Series products, and FastTRON GS products.</t>
  </si>
  <si>
    <t>FastTRON stackable long rack ears. Applicable for the FES, the FWSX, the FESX, and the FGS.</t>
  </si>
  <si>
    <t>Power cord (China IEC 309) for use with PS that supports 110/220v with 20Amp (FastTRON SuperX Family and BigTRON RX Series).</t>
  </si>
  <si>
    <t>Switch Software Updates (for FastTRON Workgroup, Backbone &amp; TurboTRON/8 or TurboTRON)</t>
  </si>
  <si>
    <t>Switch Software Updates for Chassis-based Layer 2 systems (for FastTRON II)</t>
  </si>
  <si>
    <t>220W, AC PS for FES</t>
  </si>
  <si>
    <t>NetCore 24-port 100BaseFX for 400/800/1500 (multimode)</t>
  </si>
  <si>
    <t>NetCore 24-port 100BaseFX for BigTRON 400/800/1500 (15km)</t>
  </si>
  <si>
    <t>BigTRON 24-port 10/100BASE-TX NetCore POE Module</t>
  </si>
  <si>
    <t>NetCore 48 port 10/100Base-TX double-wide module for with RJ-45  Connectors.  Release 7.6.05a or later is required to operate this module.</t>
  </si>
  <si>
    <t>NetCore 48 port 10/100Base-TX (RJ-45) double-wide</t>
  </si>
  <si>
    <t>NetCore 48 port 10/100Base-TX module for BigTRON with RJ-21 Telco  Connectors. Release 7.6.05a or later is required to operate this module.</t>
  </si>
  <si>
    <t>NetCore 48 port 10/100Base-TX (RJ-21 Female) for BigTRON</t>
  </si>
  <si>
    <t>16-port 100/1000Base-T (RJ45) BigTRON NetCore module</t>
  </si>
  <si>
    <t>8-port 1000Base-X (SFP) BigTRON NetCore module</t>
  </si>
  <si>
    <t>16-port 1000Base-X (SFP) BigTRON NetCore module</t>
  </si>
  <si>
    <t>8-port 1000Base-X (SFP) redundant BigTRON NetCore management module</t>
  </si>
  <si>
    <t>BigTRON 2-port 1000BASE-X NetCore M4 Management Module (Release 7.6.05 or later required)</t>
  </si>
  <si>
    <t>BigTRON 2-port 1000BASE-X BigTRON NetCore Management Module</t>
  </si>
  <si>
    <t>4-slot SecureTRONLS chassis equipped with one LS-SSM6-1 (1BP) management module, one AC power supply, one 48-port 10/100 RJ45 Module, and one 2-port SFP Gigabit NetCore line module</t>
  </si>
  <si>
    <t>4-slot SecureTRONLS chassis equipped with one LS-SSM6-1 (1BP) management module, one AC power supply, two 16-port 100/1000 Mbps RJ45 Modules, and one 2-port SFP Gigabit NetCore line module</t>
  </si>
  <si>
    <t>4-slot SecureTRONLS chassis equipped with one SSM6 (3BP) management module, one AC power supply, two 16-port 100/1000 Mbps RJ45 Modules, and one 2-port SFP Gigabit NetCore line module</t>
  </si>
  <si>
    <t>8-port 1000Base-X (SFP) NetCore Module</t>
  </si>
  <si>
    <t>8-port SFP ServerTRON NetCore Module</t>
  </si>
  <si>
    <t>16-port 100/1000Base-T (RJ45) NetCore Module</t>
  </si>
  <si>
    <t>16-port 100/1000Base-T (RJ45) ServerTRON NetCore Module</t>
  </si>
  <si>
    <t>16-port 1000Base-X (SFP) NetCore Module</t>
  </si>
  <si>
    <t>16-port 1000Base-X (SFP) ServerTRON NetCore Module</t>
  </si>
  <si>
    <t>2-Port Gigabit NetCore Line Module (SFP).</t>
  </si>
  <si>
    <t>4-Port Gigabit NetCore Line Module (SFP).</t>
  </si>
  <si>
    <t>NetCore 48 port 10/100Base-TX double-wide module for with RJ-45  Connectors.</t>
  </si>
  <si>
    <t>4-slot chassis equipped with WSM6 (Web Switching Management Module) that automatically aligns itself with up to three additional NetCore line modules installed in the chassis for high-performance Layer 4-7 switching applications</t>
  </si>
  <si>
    <t>4-slot -48V DC chassis equipped with WSM6 (Web Switching Management Module) that automatically aligns itself with up to three additional NetCore line modules installed in the chassis for high-performance Layer 4-7 switching applications</t>
  </si>
  <si>
    <t>8-slot chassis equipped with WSM6 (Web Switching Management Module) that automatically aligns itself with up to seven additional NetCore line modules installed in the chassis for high-performance Layer 4-7 switching applications</t>
  </si>
  <si>
    <t>8-slot -48V DC chassis equipped with WSM6 (Web Switching Management Module) that automatically aligns itself with up to seven additional NetCore line modules installed in the chassis for high-performance Layer 4-7 switching applications</t>
  </si>
  <si>
    <t>3-slot 2U High ServerTRON chassis equipped with one WSM6-1, one AC power supply, and one 2-port J-B2Gx NetCore line module</t>
  </si>
  <si>
    <t>3-slot 2U High ServerTRON chassis equipped with one WSM6-1, one AC power supply, and one 16-port 100/1000 Mbps J-B16GC NetCore line module</t>
  </si>
  <si>
    <t>3-slot 2U High ServerTRON chassis equipped with one WSM6-1, one AC power supply, and one 24-port 10/100 and 4-port Gigabit J-B2404CF NetCore line module</t>
  </si>
  <si>
    <t>3-slot 2U High ServerTRON chassis equipped with one WSM6-SSL-1 (integrated SSL acceleration), one AC power supply, and one 2-port J-B2Gx NetCore line module</t>
  </si>
  <si>
    <t>3-slot 2U High ServerTRON chassis equipped with one WSM6-SSL-1 (integrated SSL acceleration), one AC power supply, and one 16-port 100/1000 Mbps J-B16GC NetCore line module</t>
  </si>
  <si>
    <t>3-slot 2U High ServerTRON chassis equipped with one WSM6-SSL-1 (integrated SSL acceleration), one AC power supply, and one 24-port 10/100 and 4-port Gigabit J-B2404CF NetCore line module</t>
  </si>
  <si>
    <t>4-slot chassis equipped with WSM6-1 (Web Switching Management Module with ONE BP), one AC Power Supply and 2-Port Gigabit NetCore Line Module</t>
  </si>
  <si>
    <t>4-slot chassis equipped with WSM6-1 (Web Switching Management Module with ONE BP), one –48V DC Power Supply and 2-Port Gigabit NetCore Line Module</t>
  </si>
  <si>
    <t>4-slot chassis equipped with WSM6-1 (Web Switching Management Module with ONE BP), one AC Power Supply and 16-Port 100/1000 Mbps Copper NetCore Line Module</t>
  </si>
  <si>
    <t>4-slot chassis equipped with WSM6-1 (Web Switching Management Module with ONE BP), one AC Power Supply and 16-Port 100/1000 Mbps Copper NetCore Line Module (-48 V DC Power Supply)</t>
  </si>
  <si>
    <t>4-slot chassis equipped with WSM6-1 (Web Switching Management Module with ONE BP), one AC Power Supply and 24-Port 10/100 and 4-port Gigabit Copper and Fiber Combo NetCore Line Module (Requires R 9.3.00 or Later)</t>
  </si>
  <si>
    <t>4-slot chassis equipped with WSM6-1 (Web Switching Management Module with ONE BP), one -48V DC Power Supply and 24-Port 10/100 and 4-port Gigabit Copper and Fiber Combo NetCore Line Module (Requires R 9.3.00 or Later)</t>
  </si>
  <si>
    <t>4-slot chassis equipped with WSM6-2 (Web Switching Management Module with TWO BPs), one AC Power Supply and 4-Port Gigabit NetCore Line Module</t>
  </si>
  <si>
    <t>4-slot chassis equipped with WSM6-2 (Web Switching Management Module with TWO BPs), one –48V DC Power Supply and 4-Port Gigabit NetCore Line Module</t>
  </si>
  <si>
    <t>4-slot chassis equipped with WSM6-2 (Web Switching Management Module with TWO BP), one AC Power Supply and 24-Port 10/100 and 4-port Gigabit Copper and Fiber Combo NetCore Line Module</t>
  </si>
  <si>
    <t>4-slot chassis equipped with WSM6-2 (Web Switching Management Module with TWO BP), one -48V DC Power Supply and 24-Port 10/100 and 4-port Gigabit Copper and Fiber Combo NetCore Line Module</t>
  </si>
  <si>
    <t>4-slot chassis equipped with WSM6-2 (Web Switching Management Module with TWO BP), one AC Power Supply and 16-Port 100/1000 Mbps Copper NetCore Line Module</t>
  </si>
  <si>
    <t>4-slot chassis equipped with WSM6-2 (Web Switching Management Module with TWO BP), one -48V DC Power Supply and 16-Port 100/1000 Mbps Copper NetCore Line Module</t>
  </si>
  <si>
    <t>Replacement FAN for the 3-slot NetCore Chassis</t>
  </si>
  <si>
    <t>Long Description</t>
  </si>
  <si>
    <t>Short Description</t>
  </si>
  <si>
    <t>Loc Code</t>
  </si>
  <si>
    <t>Retail Price</t>
  </si>
  <si>
    <t>Discount</t>
  </si>
  <si>
    <t>Qty</t>
  </si>
  <si>
    <t>Sub Total</t>
  </si>
  <si>
    <t>TOTAL</t>
  </si>
  <si>
    <t>Customer:</t>
  </si>
  <si>
    <t>Global Financial Consulting</t>
  </si>
  <si>
    <t>Customer Category:</t>
  </si>
  <si>
    <t>Bronze</t>
  </si>
  <si>
    <t>Silver</t>
  </si>
  <si>
    <t>Gold</t>
  </si>
  <si>
    <t>Platinum</t>
  </si>
  <si>
    <t>Customer Category</t>
  </si>
  <si>
    <t>Discount Matrix</t>
  </si>
  <si>
    <t>Cost Summary</t>
  </si>
  <si>
    <t>Total</t>
  </si>
  <si>
    <t>NetTRON - Quote for Network Infrastructure</t>
  </si>
  <si>
    <t>NetTRON - International Price List</t>
  </si>
  <si>
    <t>DiscCategory</t>
  </si>
  <si>
    <t>Installation Location</t>
  </si>
  <si>
    <t>Item Code</t>
  </si>
  <si>
    <t>Disc Cat</t>
  </si>
  <si>
    <t>Cust Cat</t>
  </si>
  <si>
    <t>Row #</t>
  </si>
  <si>
    <t>Col#</t>
  </si>
  <si>
    <t>indexes de header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</si>
</sst>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XDR&quot;* #,##0.00_-;\-&quot;XDR&quot;* #,##0.00_-;_-&quot;XDR&quot;* &quot;-&quot;??_-;_-@_-"/>
    <numFmt numFmtId="164" formatCode="&quot;$&quot;#,##0_);[Red]\(&quot;$&quot;#,##0\)"/>
    <numFmt numFmtId="165" formatCode="&quot;$&quot;#,##0.00"/>
    <numFmt numFmtId="166" formatCode="&quot;$&quot;#,##0.00;\-&quot;$&quot;#,##0.00;"/>
    <numFmt numFmtId="167" formatCode="0.00%;\-0.00%;"/>
    <numFmt numFmtId="168" formatCode="_-[$$-1009]* #,##0.00_-;\-[$$-1009]* #,##0.00_-;_-[$$-1009]* &quot;-&quot;??_-;_-@_-"/>
  </numFmts>
  <fonts count="16" x14ac:knownFonts="1">
    <font>
      <sz val="10"/>
      <name val="Arial"/>
    </font>
    <font>
      <sz val="11"/>
      <color theme="1"/>
      <name val="Calibri"/>
      <family val="2"/>
      <scheme val="minor"/>
    </font>
    <font>
      <sz val="11"/>
      <color theme="1"/>
      <name val="Calibri"/>
      <family val="2"/>
      <scheme val="minor"/>
    </font>
    <font>
      <sz val="10"/>
      <name val="Arial"/>
      <family val="2"/>
    </font>
    <font>
      <sz val="10"/>
      <color indexed="8"/>
      <name val="Arial"/>
      <family val="2"/>
    </font>
    <font>
      <sz val="24"/>
      <name val="Courier New"/>
      <family val="3"/>
    </font>
    <font>
      <sz val="10"/>
      <name val="Courier New"/>
      <family val="3"/>
    </font>
    <font>
      <sz val="10"/>
      <name val="Arial"/>
      <family val="2"/>
    </font>
    <font>
      <sz val="18"/>
      <color theme="3"/>
      <name val="Calibri Light"/>
      <family val="2"/>
      <scheme val="major"/>
    </font>
    <font>
      <b/>
      <sz val="11"/>
      <color theme="1"/>
      <name val="Calibri"/>
      <family val="2"/>
      <scheme val="minor"/>
    </font>
    <font>
      <sz val="10"/>
      <name val="Calibri"/>
      <family val="2"/>
      <scheme val="minor"/>
    </font>
    <font>
      <sz val="10"/>
      <color indexed="8"/>
      <name val="Calibri"/>
      <family val="2"/>
      <scheme val="minor"/>
    </font>
    <font>
      <b/>
      <sz val="10"/>
      <color theme="1"/>
      <name val="Calibri"/>
      <family val="2"/>
      <scheme val="minor"/>
    </font>
    <font>
      <sz val="11"/>
      <color theme="0"/>
      <name val="Calibri"/>
      <family val="2"/>
      <scheme val="minor"/>
    </font>
    <font>
      <sz val="10"/>
      <color theme="1"/>
      <name val="Calibri"/>
      <family val="2"/>
      <scheme val="minor"/>
    </font>
    <font>
      <sz val="10"/>
      <name val="Arial"/>
      <family val="2"/>
    </font>
  </fonts>
  <fills count="8">
    <fill>
      <patternFill patternType="none"/>
    </fill>
    <fill>
      <patternFill patternType="gray125"/>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6"/>
      </patternFill>
    </fill>
    <fill>
      <patternFill patternType="solid">
        <fgColor rgb="FF00B0F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theme="4"/>
      </top>
      <bottom style="double">
        <color theme="4"/>
      </bottom>
      <diagonal/>
    </border>
    <border>
      <left/>
      <right/>
      <top style="thin">
        <color theme="1"/>
      </top>
      <bottom style="thin">
        <color theme="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1">
    <xf numFmtId="0" fontId="0" fillId="0" borderId="0"/>
    <xf numFmtId="0" fontId="4" fillId="0" borderId="0"/>
    <xf numFmtId="0" fontId="5" fillId="0" borderId="1" applyProtection="0">
      <alignment vertical="center"/>
    </xf>
    <xf numFmtId="0" fontId="6" fillId="0" borderId="1" applyFill="0" applyBorder="0" applyProtection="0">
      <alignment horizontal="left" vertical="center"/>
    </xf>
    <xf numFmtId="9" fontId="7" fillId="0" borderId="0" applyFont="0" applyFill="0" applyBorder="0" applyAlignment="0" applyProtection="0"/>
    <xf numFmtId="0" fontId="8" fillId="0" borderId="0" applyNumberFormat="0" applyFill="0" applyBorder="0" applyAlignment="0" applyProtection="0"/>
    <xf numFmtId="0" fontId="9" fillId="0" borderId="2" applyNumberFormat="0" applyFill="0" applyAlignment="0" applyProtection="0"/>
    <xf numFmtId="0" fontId="2" fillId="2" borderId="0" applyNumberFormat="0" applyBorder="0" applyAlignment="0" applyProtection="0"/>
    <xf numFmtId="0" fontId="3" fillId="0" borderId="0"/>
    <xf numFmtId="0" fontId="13" fillId="6" borderId="0" applyNumberFormat="0" applyBorder="0" applyAlignment="0" applyProtection="0"/>
    <xf numFmtId="44" fontId="15" fillId="0" borderId="0" applyFont="0" applyFill="0" applyBorder="0" applyAlignment="0" applyProtection="0"/>
  </cellStyleXfs>
  <cellXfs count="93">
    <xf numFmtId="0" fontId="0" fillId="0" borderId="0" xfId="0"/>
    <xf numFmtId="0" fontId="10" fillId="0" borderId="0" xfId="0" applyFont="1"/>
    <xf numFmtId="49" fontId="11" fillId="0" borderId="0" xfId="1" applyNumberFormat="1" applyFont="1" applyFill="1" applyBorder="1" applyAlignment="1">
      <alignment horizontal="left" wrapText="1"/>
    </xf>
    <xf numFmtId="0" fontId="10" fillId="0" borderId="0" xfId="0" applyFont="1" applyAlignment="1">
      <alignment horizontal="center"/>
    </xf>
    <xf numFmtId="0" fontId="10" fillId="0" borderId="0" xfId="0" applyFont="1" applyBorder="1"/>
    <xf numFmtId="49" fontId="10" fillId="0" borderId="0" xfId="0" applyNumberFormat="1" applyFont="1" applyFill="1" applyBorder="1" applyAlignment="1">
      <alignment horizontal="left"/>
    </xf>
    <xf numFmtId="0" fontId="0" fillId="4" borderId="0" xfId="0" applyFill="1"/>
    <xf numFmtId="165" fontId="10" fillId="0" borderId="0" xfId="0" applyNumberFormat="1" applyFont="1"/>
    <xf numFmtId="0" fontId="10" fillId="0" borderId="0" xfId="0" applyFont="1" applyBorder="1" applyAlignment="1">
      <alignment vertical="center"/>
    </xf>
    <xf numFmtId="0" fontId="10" fillId="0" borderId="0" xfId="0" applyFont="1" applyAlignment="1">
      <alignment horizontal="center" vertical="center"/>
    </xf>
    <xf numFmtId="0" fontId="10" fillId="0" borderId="0" xfId="0" applyFont="1" applyAlignment="1">
      <alignment vertical="center"/>
    </xf>
    <xf numFmtId="0" fontId="10" fillId="0" borderId="0" xfId="0" applyFont="1" applyAlignment="1">
      <alignment horizontal="right" vertical="center"/>
    </xf>
    <xf numFmtId="0" fontId="10" fillId="0" borderId="0" xfId="0" applyFont="1" applyAlignment="1">
      <alignment horizontal="right"/>
    </xf>
    <xf numFmtId="165" fontId="10" fillId="0" borderId="0" xfId="0" applyNumberFormat="1" applyFont="1" applyAlignment="1">
      <alignment horizontal="right" vertical="center"/>
    </xf>
    <xf numFmtId="0" fontId="9" fillId="0" borderId="2" xfId="6"/>
    <xf numFmtId="14" fontId="9" fillId="4" borderId="0" xfId="7" applyNumberFormat="1" applyFont="1" applyFill="1" applyAlignment="1">
      <alignment horizontal="left" vertical="center"/>
    </xf>
    <xf numFmtId="0" fontId="9" fillId="4" borderId="0" xfId="7" applyFont="1" applyFill="1" applyAlignment="1">
      <alignment horizontal="center" vertical="center"/>
    </xf>
    <xf numFmtId="0" fontId="9" fillId="2" borderId="0" xfId="7" applyFont="1" applyAlignment="1">
      <alignment horizontal="left" vertical="center"/>
    </xf>
    <xf numFmtId="14" fontId="10" fillId="0" borderId="0" xfId="0" applyNumberFormat="1" applyFont="1" applyAlignment="1">
      <alignment horizontal="right" vertical="center"/>
    </xf>
    <xf numFmtId="0" fontId="8" fillId="0" borderId="0" xfId="5" applyBorder="1" applyAlignment="1">
      <alignment horizontal="left" vertical="center"/>
    </xf>
    <xf numFmtId="0" fontId="10" fillId="4" borderId="0" xfId="0" applyFont="1" applyFill="1" applyBorder="1"/>
    <xf numFmtId="0" fontId="10" fillId="4" borderId="0" xfId="0" applyFont="1" applyFill="1" applyAlignment="1">
      <alignment horizontal="center"/>
    </xf>
    <xf numFmtId="0" fontId="10" fillId="4" borderId="0" xfId="0" applyFont="1" applyFill="1"/>
    <xf numFmtId="165" fontId="10" fillId="4" borderId="0" xfId="0" applyNumberFormat="1" applyFont="1" applyFill="1"/>
    <xf numFmtId="0" fontId="10" fillId="4" borderId="0" xfId="0" applyFont="1" applyFill="1" applyAlignment="1">
      <alignment horizontal="right"/>
    </xf>
    <xf numFmtId="165" fontId="9" fillId="0" borderId="2" xfId="6" applyNumberFormat="1"/>
    <xf numFmtId="0" fontId="12" fillId="0" borderId="3" xfId="0" applyFont="1" applyBorder="1" applyAlignment="1">
      <alignment vertical="center"/>
    </xf>
    <xf numFmtId="166" fontId="10" fillId="0" borderId="0" xfId="0" applyNumberFormat="1" applyFont="1"/>
    <xf numFmtId="166" fontId="10" fillId="0" borderId="0" xfId="0" applyNumberFormat="1" applyFont="1" applyAlignment="1">
      <alignment horizontal="right" vertical="center"/>
    </xf>
    <xf numFmtId="166" fontId="10" fillId="0" borderId="0" xfId="0" applyNumberFormat="1" applyFont="1" applyAlignment="1">
      <alignment horizontal="right"/>
    </xf>
    <xf numFmtId="166" fontId="12" fillId="0" borderId="3" xfId="0" applyNumberFormat="1" applyFont="1" applyBorder="1" applyAlignment="1">
      <alignment horizontal="right" vertical="center"/>
    </xf>
    <xf numFmtId="167" fontId="10" fillId="0" borderId="0" xfId="4" applyNumberFormat="1" applyFont="1" applyAlignment="1"/>
    <xf numFmtId="0" fontId="11" fillId="0" borderId="0" xfId="0" applyNumberFormat="1" applyFont="1" applyFill="1" applyBorder="1" applyAlignment="1" applyProtection="1">
      <alignment horizontal="left" wrapText="1"/>
    </xf>
    <xf numFmtId="0" fontId="10" fillId="0" borderId="0" xfId="0" applyNumberFormat="1" applyFont="1" applyAlignment="1"/>
    <xf numFmtId="0" fontId="10" fillId="4" borderId="0" xfId="0" applyFont="1" applyFill="1" applyAlignment="1">
      <alignment vertical="center"/>
    </xf>
    <xf numFmtId="0" fontId="10" fillId="0" borderId="0" xfId="0" applyNumberFormat="1" applyFont="1" applyFill="1" applyBorder="1" applyAlignment="1"/>
    <xf numFmtId="4" fontId="10" fillId="0" borderId="0" xfId="0" applyNumberFormat="1" applyFont="1" applyFill="1" applyBorder="1" applyAlignment="1">
      <alignment horizontal="right"/>
    </xf>
    <xf numFmtId="0" fontId="13" fillId="6" borderId="0" xfId="9" applyFont="1" applyBorder="1" applyAlignment="1">
      <alignment horizontal="center"/>
    </xf>
    <xf numFmtId="4" fontId="10" fillId="0" borderId="1" xfId="0" applyNumberFormat="1" applyFont="1" applyFill="1" applyBorder="1" applyAlignment="1">
      <alignment horizontal="right"/>
    </xf>
    <xf numFmtId="0" fontId="10" fillId="0" borderId="1" xfId="0" applyNumberFormat="1" applyFont="1" applyFill="1" applyBorder="1" applyAlignment="1"/>
    <xf numFmtId="0" fontId="8" fillId="0" borderId="0" xfId="5" applyFont="1" applyFill="1" applyBorder="1"/>
    <xf numFmtId="0" fontId="10" fillId="0" borderId="0" xfId="0" applyNumberFormat="1" applyFont="1" applyBorder="1"/>
    <xf numFmtId="0" fontId="10" fillId="5" borderId="0" xfId="0" applyFont="1" applyFill="1" applyAlignment="1">
      <alignment vertical="center"/>
    </xf>
    <xf numFmtId="0" fontId="10" fillId="5" borderId="0" xfId="0" applyFont="1" applyFill="1" applyAlignment="1">
      <alignment horizontal="center" vertical="center"/>
    </xf>
    <xf numFmtId="0" fontId="10" fillId="3" borderId="0" xfId="0" applyFont="1" applyFill="1" applyAlignment="1">
      <alignment horizontal="center" vertical="center"/>
    </xf>
    <xf numFmtId="0" fontId="10" fillId="3" borderId="0" xfId="0" applyFont="1" applyFill="1" applyBorder="1" applyAlignment="1">
      <alignment horizontal="center" vertical="center"/>
    </xf>
    <xf numFmtId="10" fontId="10" fillId="0" borderId="1" xfId="0" applyNumberFormat="1" applyFont="1" applyBorder="1" applyAlignment="1">
      <alignment horizontal="center" vertical="center"/>
    </xf>
    <xf numFmtId="10" fontId="10" fillId="0" borderId="0" xfId="4" applyNumberFormat="1" applyFont="1"/>
    <xf numFmtId="0" fontId="1" fillId="2" borderId="0" xfId="7" applyFont="1" applyBorder="1" applyAlignment="1">
      <alignment horizontal="right" vertical="center"/>
    </xf>
    <xf numFmtId="0" fontId="11" fillId="0" borderId="1" xfId="1" applyNumberFormat="1" applyFont="1" applyFill="1" applyBorder="1" applyAlignment="1"/>
    <xf numFmtId="165" fontId="14" fillId="2" borderId="0" xfId="7" applyNumberFormat="1" applyFont="1" applyBorder="1" applyAlignment="1">
      <alignment horizontal="center"/>
    </xf>
    <xf numFmtId="0" fontId="14" fillId="2" borderId="0" xfId="7" applyFont="1" applyBorder="1" applyAlignment="1">
      <alignment horizontal="center"/>
    </xf>
    <xf numFmtId="0" fontId="14" fillId="2" borderId="0" xfId="7" applyFont="1" applyAlignment="1">
      <alignment horizontal="center"/>
    </xf>
    <xf numFmtId="10" fontId="10" fillId="0" borderId="0" xfId="4" applyNumberFormat="1" applyFont="1" applyAlignment="1">
      <alignment horizontal="center"/>
    </xf>
    <xf numFmtId="10" fontId="14" fillId="2" borderId="0" xfId="7" applyNumberFormat="1" applyFont="1" applyAlignment="1">
      <alignment horizontal="center"/>
    </xf>
    <xf numFmtId="0" fontId="8" fillId="0" borderId="0" xfId="5" applyFont="1" applyFill="1" applyBorder="1" applyAlignment="1"/>
    <xf numFmtId="0" fontId="10" fillId="0" borderId="0" xfId="0" applyFont="1" applyBorder="1" applyAlignment="1"/>
    <xf numFmtId="4" fontId="10" fillId="0" borderId="1" xfId="0" applyNumberFormat="1" applyFont="1" applyBorder="1" applyAlignment="1"/>
    <xf numFmtId="0" fontId="10" fillId="0" borderId="0" xfId="0" applyFont="1" applyFill="1" applyBorder="1" applyAlignment="1"/>
    <xf numFmtId="0" fontId="10" fillId="0" borderId="0" xfId="0" applyFont="1" applyAlignment="1"/>
    <xf numFmtId="4" fontId="10" fillId="0" borderId="1" xfId="0" applyNumberFormat="1" applyFont="1" applyFill="1" applyBorder="1" applyAlignment="1"/>
    <xf numFmtId="0" fontId="10" fillId="0" borderId="1" xfId="0" applyFont="1" applyFill="1" applyBorder="1" applyAlignment="1"/>
    <xf numFmtId="164" fontId="10" fillId="0" borderId="1" xfId="0" applyNumberFormat="1" applyFont="1" applyFill="1" applyBorder="1" applyAlignment="1"/>
    <xf numFmtId="0" fontId="10" fillId="0" borderId="1" xfId="0" applyFont="1" applyBorder="1" applyAlignment="1"/>
    <xf numFmtId="49" fontId="10" fillId="0" borderId="1" xfId="2" applyNumberFormat="1" applyFont="1" applyFill="1" applyBorder="1" applyAlignment="1">
      <alignment horizontal="left"/>
    </xf>
    <xf numFmtId="0" fontId="11" fillId="0" borderId="1" xfId="0" applyFont="1" applyBorder="1" applyAlignment="1">
      <alignment horizontal="left"/>
    </xf>
    <xf numFmtId="0" fontId="10" fillId="0" borderId="1" xfId="3" applyFont="1" applyFill="1" applyBorder="1" applyAlignment="1">
      <alignment horizontal="left"/>
    </xf>
    <xf numFmtId="49" fontId="11" fillId="0" borderId="4" xfId="1" applyNumberFormat="1" applyFont="1" applyFill="1" applyBorder="1" applyAlignment="1">
      <alignment horizontal="left"/>
    </xf>
    <xf numFmtId="49" fontId="10" fillId="0" borderId="4" xfId="0" applyNumberFormat="1" applyFont="1" applyFill="1" applyBorder="1" applyAlignment="1">
      <alignment horizontal="left"/>
    </xf>
    <xf numFmtId="0" fontId="10" fillId="0" borderId="4" xfId="0" applyFont="1" applyBorder="1" applyAlignment="1">
      <alignment horizontal="left"/>
    </xf>
    <xf numFmtId="0" fontId="10" fillId="0" borderId="4" xfId="0" applyFont="1" applyFill="1" applyBorder="1" applyAlignment="1"/>
    <xf numFmtId="0" fontId="10" fillId="0" borderId="4" xfId="0" applyFont="1" applyBorder="1" applyAlignment="1"/>
    <xf numFmtId="0" fontId="11" fillId="0" borderId="4" xfId="0" applyFont="1" applyFill="1" applyBorder="1" applyAlignment="1">
      <alignment horizontal="left"/>
    </xf>
    <xf numFmtId="0" fontId="11" fillId="0" borderId="4" xfId="0" applyFont="1" applyBorder="1" applyAlignment="1">
      <alignment horizontal="left"/>
    </xf>
    <xf numFmtId="0" fontId="11" fillId="0" borderId="5" xfId="1" applyNumberFormat="1" applyFont="1" applyFill="1" applyBorder="1" applyAlignment="1">
      <alignment horizontal="center"/>
    </xf>
    <xf numFmtId="49" fontId="11" fillId="0" borderId="6" xfId="1" applyNumberFormat="1" applyFont="1" applyFill="1" applyBorder="1" applyAlignment="1">
      <alignment horizontal="left"/>
    </xf>
    <xf numFmtId="0" fontId="11" fillId="0" borderId="7" xfId="1" applyNumberFormat="1" applyFont="1" applyFill="1" applyBorder="1" applyAlignment="1"/>
    <xf numFmtId="0" fontId="11" fillId="0" borderId="7" xfId="1" applyNumberFormat="1" applyFont="1" applyFill="1" applyBorder="1" applyAlignment="1">
      <alignment horizontal="left"/>
    </xf>
    <xf numFmtId="4" fontId="11" fillId="0" borderId="7" xfId="1" applyNumberFormat="1" applyFont="1" applyFill="1" applyBorder="1" applyAlignment="1">
      <alignment horizontal="right"/>
    </xf>
    <xf numFmtId="49" fontId="11" fillId="0" borderId="8" xfId="1" applyNumberFormat="1" applyFont="1" applyFill="1" applyBorder="1" applyAlignment="1">
      <alignment horizontal="center"/>
    </xf>
    <xf numFmtId="49" fontId="11" fillId="0" borderId="9" xfId="1" applyNumberFormat="1" applyFont="1" applyFill="1" applyBorder="1" applyAlignment="1">
      <alignment horizontal="left"/>
    </xf>
    <xf numFmtId="0" fontId="11" fillId="0" borderId="10" xfId="1" applyNumberFormat="1" applyFont="1" applyFill="1" applyBorder="1" applyAlignment="1"/>
    <xf numFmtId="4" fontId="10" fillId="0" borderId="10" xfId="0" applyNumberFormat="1" applyFont="1" applyBorder="1" applyAlignment="1"/>
    <xf numFmtId="0" fontId="11" fillId="0" borderId="11" xfId="1" applyNumberFormat="1" applyFont="1" applyFill="1" applyBorder="1" applyAlignment="1">
      <alignment horizontal="center"/>
    </xf>
    <xf numFmtId="0" fontId="10" fillId="7" borderId="0" xfId="0" applyFont="1" applyFill="1" applyBorder="1"/>
    <xf numFmtId="0" fontId="10" fillId="7" borderId="0" xfId="0" applyFont="1" applyFill="1" applyAlignment="1">
      <alignment horizontal="center"/>
    </xf>
    <xf numFmtId="0" fontId="10" fillId="7" borderId="0" xfId="0" applyFont="1" applyFill="1"/>
    <xf numFmtId="168" fontId="10" fillId="0" borderId="0" xfId="10" applyNumberFormat="1" applyFont="1"/>
    <xf numFmtId="0" fontId="9" fillId="2" borderId="0" xfId="7" applyFont="1" applyAlignment="1">
      <alignment horizontal="left" vertical="center"/>
    </xf>
    <xf numFmtId="0" fontId="1" fillId="2" borderId="0" xfId="7" applyFont="1" applyAlignment="1">
      <alignment horizontal="right" vertical="center"/>
    </xf>
    <xf numFmtId="0" fontId="9" fillId="2" borderId="0" xfId="7" applyFont="1" applyAlignment="1">
      <alignment horizontal="center" vertical="center"/>
    </xf>
    <xf numFmtId="0" fontId="10" fillId="5" borderId="0" xfId="0" applyFont="1" applyFill="1" applyAlignment="1">
      <alignment horizontal="center" vertical="center"/>
    </xf>
    <xf numFmtId="0" fontId="10" fillId="5" borderId="0" xfId="0" applyFont="1" applyFill="1" applyBorder="1" applyAlignment="1">
      <alignment horizontal="center" vertical="center" textRotation="90" wrapText="1"/>
    </xf>
  </cellXfs>
  <cellStyles count="11">
    <cellStyle name="20% - Accent3" xfId="7" builtinId="38"/>
    <cellStyle name="Accent3" xfId="9" builtinId="37"/>
    <cellStyle name="Currency" xfId="10" builtinId="4"/>
    <cellStyle name="Normal" xfId="0" builtinId="0"/>
    <cellStyle name="Normal 2" xfId="8" xr:uid="{00000000-0005-0000-0000-000003000000}"/>
    <cellStyle name="Normal_Sheet1" xfId="1" xr:uid="{00000000-0005-0000-0000-000004000000}"/>
    <cellStyle name="Percent" xfId="4" builtinId="5"/>
    <cellStyle name="Released" xfId="2" xr:uid="{00000000-0005-0000-0000-000006000000}"/>
    <cellStyle name="Released-Short" xfId="3" xr:uid="{00000000-0005-0000-0000-000007000000}"/>
    <cellStyle name="Title" xfId="5" builtinId="15"/>
    <cellStyle name="Total" xfId="6" builtinId="25"/>
  </cellStyles>
  <dxfs count="31">
    <dxf>
      <font>
        <b val="0"/>
        <i val="0"/>
        <strike val="0"/>
        <condense val="0"/>
        <extend val="0"/>
        <outline val="0"/>
        <shadow val="0"/>
        <u val="none"/>
        <vertAlign val="baseline"/>
        <sz val="10"/>
        <color indexed="8"/>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numFmt numFmtId="4" formatCode="#,##0.00"/>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Calibri"/>
        <family val="2"/>
        <scheme val="minor"/>
      </font>
      <numFmt numFmtId="30" formatCode="@"/>
      <fill>
        <patternFill patternType="none">
          <fgColor indexed="64"/>
          <bgColor indexed="65"/>
        </patternFill>
      </fill>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0"/>
        <color auto="1"/>
        <name val="Calibri"/>
        <family val="2"/>
        <scheme val="minor"/>
      </font>
      <numFmt numFmtId="166" formatCode="&quot;$&quot;#,##0.00;\-&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66" formatCode="&quot;$&quot;#,##0.00;\-&quot;$&quot;#,##0.00;"/>
      <alignment horizontal="right"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67" formatCode="0.00%;\-0.00%;"/>
      <alignment horizontal="general"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textRotation="0" wrapText="0"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indexed="8"/>
        <name val="Calibri"/>
        <family val="2"/>
        <scheme val="minor"/>
      </font>
      <numFmt numFmtId="0" formatCode="General"/>
      <fill>
        <patternFill patternType="none">
          <fgColor indexed="64"/>
          <bgColor indexed="65"/>
        </patternFill>
      </fill>
      <alignment horizontal="left" vertical="bottom"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indexed="8"/>
        <name val="Calibri"/>
        <family val="2"/>
        <scheme val="minor"/>
      </font>
      <numFmt numFmtId="30" formatCode="@"/>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dxf>
    <dxf>
      <fill>
        <patternFill>
          <bgColor theme="0" tint="-4.9989318521683403E-2"/>
        </patternFill>
      </fill>
    </dxf>
    <dxf>
      <fill>
        <patternFill>
          <bgColor theme="4" tint="0.79998168889431442"/>
        </patternFill>
      </fill>
    </dxf>
    <dxf>
      <fill>
        <patternFill>
          <bgColor theme="0"/>
        </patternFill>
      </fill>
    </dxf>
  </dxfs>
  <tableStyles count="0" defaultTableStyle="TableStyleMedium9" defaultPivotStyle="PivotStyleLight16"/>
  <colors>
    <mruColors>
      <color rgb="FFCCFF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4</xdr:col>
      <xdr:colOff>580160</xdr:colOff>
      <xdr:row>1</xdr:row>
      <xdr:rowOff>0</xdr:rowOff>
    </xdr:from>
    <xdr:to>
      <xdr:col>4</xdr:col>
      <xdr:colOff>1437410</xdr:colOff>
      <xdr:row>2</xdr:row>
      <xdr:rowOff>155864</xdr:rowOff>
    </xdr:to>
    <xdr:sp macro="" textlink="">
      <xdr:nvSpPr>
        <xdr:cNvPr id="2" name="Rectangle: Rounded Corners 1">
          <a:extLst>
            <a:ext uri="{FF2B5EF4-FFF2-40B4-BE49-F238E27FC236}">
              <a16:creationId xmlns:a16="http://schemas.microsoft.com/office/drawing/2014/main" id="{2CC22F69-DFC3-4BF1-A8F0-05BBF53CA841}"/>
            </a:ext>
          </a:extLst>
        </xdr:cNvPr>
        <xdr:cNvSpPr/>
      </xdr:nvSpPr>
      <xdr:spPr>
        <a:xfrm>
          <a:off x="3550228" y="337705"/>
          <a:ext cx="857250" cy="32038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419" sz="1100"/>
            <a:t>MATCH</a:t>
          </a:r>
        </a:p>
      </xdr:txBody>
    </xdr:sp>
    <xdr:clientData/>
  </xdr:twoCellAnchor>
  <xdr:twoCellAnchor>
    <xdr:from>
      <xdr:col>4</xdr:col>
      <xdr:colOff>39831</xdr:colOff>
      <xdr:row>2</xdr:row>
      <xdr:rowOff>204355</xdr:rowOff>
    </xdr:from>
    <xdr:to>
      <xdr:col>6</xdr:col>
      <xdr:colOff>173181</xdr:colOff>
      <xdr:row>4</xdr:row>
      <xdr:rowOff>83127</xdr:rowOff>
    </xdr:to>
    <xdr:sp macro="" textlink="">
      <xdr:nvSpPr>
        <xdr:cNvPr id="3" name="Rectangle: Rounded Corners 2">
          <a:extLst>
            <a:ext uri="{FF2B5EF4-FFF2-40B4-BE49-F238E27FC236}">
              <a16:creationId xmlns:a16="http://schemas.microsoft.com/office/drawing/2014/main" id="{B46DF1F9-69EA-45E4-B5F3-7BCDC4CD4418}"/>
            </a:ext>
          </a:extLst>
        </xdr:cNvPr>
        <xdr:cNvSpPr/>
      </xdr:nvSpPr>
      <xdr:spPr>
        <a:xfrm>
          <a:off x="3009899" y="706582"/>
          <a:ext cx="3250623" cy="32038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419" sz="1100"/>
            <a:t>Queremos</a:t>
          </a:r>
          <a:r>
            <a:rPr lang="es-419" sz="1100" baseline="0"/>
            <a:t> darle a cada header de una tabla un indice</a:t>
          </a:r>
          <a:endParaRPr lang="es-419" sz="1100"/>
        </a:p>
      </xdr:txBody>
    </xdr:sp>
    <xdr:clientData/>
  </xdr:twoCellAnchor>
  <xdr:twoCellAnchor>
    <xdr:from>
      <xdr:col>4</xdr:col>
      <xdr:colOff>13854</xdr:colOff>
      <xdr:row>4</xdr:row>
      <xdr:rowOff>100445</xdr:rowOff>
    </xdr:from>
    <xdr:to>
      <xdr:col>7</xdr:col>
      <xdr:colOff>432955</xdr:colOff>
      <xdr:row>6</xdr:row>
      <xdr:rowOff>91786</xdr:rowOff>
    </xdr:to>
    <xdr:sp macro="" textlink="">
      <xdr:nvSpPr>
        <xdr:cNvPr id="4" name="Rectangle: Rounded Corners 3">
          <a:extLst>
            <a:ext uri="{FF2B5EF4-FFF2-40B4-BE49-F238E27FC236}">
              <a16:creationId xmlns:a16="http://schemas.microsoft.com/office/drawing/2014/main" id="{909802BD-F5BA-4F53-8822-7DB8A7C52E6C}"/>
            </a:ext>
          </a:extLst>
        </xdr:cNvPr>
        <xdr:cNvSpPr/>
      </xdr:nvSpPr>
      <xdr:spPr>
        <a:xfrm>
          <a:off x="2983922" y="1044286"/>
          <a:ext cx="4350328" cy="320386"/>
        </a:xfrm>
        <a:prstGeom prst="round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419" sz="1100"/>
            <a:t>=MATCH(Table2[[#Headers];[Short Description]];parts[#Headers];)</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9:I40" totalsRowCount="1" headerRowDxfId="27" dataDxfId="26">
  <sortState xmlns:xlrd2="http://schemas.microsoft.com/office/spreadsheetml/2017/richdata2" ref="A10:I39">
    <sortCondition ref="B10"/>
  </sortState>
  <tableColumns count="9">
    <tableColumn id="1" xr3:uid="{00000000-0010-0000-0000-000001000000}" name="Item" totalsRowLabel="Total" dataDxfId="25" totalsRowDxfId="24" dataCellStyle="Normal_Sheet1"/>
    <tableColumn id="2" xr3:uid="{00000000-0010-0000-0000-000002000000}" name="Loc Code" dataDxfId="23" totalsRowDxfId="22"/>
    <tableColumn id="3" xr3:uid="{00000000-0010-0000-0000-000003000000}" name="Installation Location" dataDxfId="21" totalsRowDxfId="20">
      <calculatedColumnFormula>CHOOSE(Table2[[#This Row],[Loc Code]],$K$10,$K$11,$K$12,$K$13,$K$14)</calculatedColumnFormula>
    </tableColumn>
    <tableColumn id="4" xr3:uid="{00000000-0010-0000-0000-000004000000}" name="Qty" dataDxfId="19" totalsRowDxfId="18"/>
    <tableColumn id="5" xr3:uid="{00000000-0010-0000-0000-000005000000}" name="Short Description" dataDxfId="17" totalsRowDxfId="16">
      <calculatedColumnFormula>VLOOKUP(Table2[[#This Row],[Item]],parts[],E$8,FALSE)</calculatedColumnFormula>
    </tableColumn>
    <tableColumn id="11" xr3:uid="{00000000-0010-0000-0000-00000B000000}" name="Category" dataDxfId="15" totalsRowDxfId="14">
      <calculatedColumnFormula>VLOOKUP(Table2[[#This Row],[Item]],parts[],F$8,FALSE)</calculatedColumnFormula>
    </tableColumn>
    <tableColumn id="6" xr3:uid="{00000000-0010-0000-0000-000006000000}" name="Retail Price" dataDxfId="13" totalsRowDxfId="12">
      <calculatedColumnFormula>VLOOKUP(Table2[[#This Row],[Item]],parts[],G$8,FALSE)</calculatedColumnFormula>
    </tableColumn>
    <tableColumn id="8" xr3:uid="{00000000-0010-0000-0000-000008000000}" name="Discount" dataDxfId="11" totalsRowDxfId="10" dataCellStyle="Percent"/>
    <tableColumn id="9" xr3:uid="{00000000-0010-0000-0000-000009000000}" name="Cost" totalsRowFunction="sum" dataDxfId="9" totalsRowDxfId="8">
      <calculatedColumnFormula>Table2[[#This Row],[Retail Price]]*(1-H10)</calculatedColumnFormula>
    </tableColumn>
  </tableColumns>
  <tableStyleInfo name="TableStyleLight1" showFirstColumn="1"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parts" displayName="parts" ref="A3:E1254" totalsRowShown="0" headerRowBorderDxfId="7" tableBorderDxfId="6" totalsRowBorderDxfId="5">
  <autoFilter ref="A3:E1254" xr:uid="{00000000-0009-0000-0100-000001000000}"/>
  <tableColumns count="5">
    <tableColumn id="1" xr3:uid="{00000000-0010-0000-0100-000001000000}" name="Item Code" dataDxfId="4" dataCellStyle="Normal_Sheet1"/>
    <tableColumn id="2" xr3:uid="{00000000-0010-0000-0100-000002000000}" name="Long Description" dataDxfId="3" dataCellStyle="Normal_Sheet1"/>
    <tableColumn id="3" xr3:uid="{00000000-0010-0000-0100-000003000000}" name="Short Description" dataDxfId="2" dataCellStyle="Normal_Sheet1"/>
    <tableColumn id="4" xr3:uid="{00000000-0010-0000-0100-000004000000}" name="Retail Price" dataDxfId="1"/>
    <tableColumn id="5" xr3:uid="{00000000-0010-0000-0100-000005000000}" name="Category" dataDxfId="0" dataCellStyle="Normal_Sheet1">
      <calculatedColumnFormula>VLOOKUP(D4,$G$4:$H$7,2)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0"/>
  <sheetViews>
    <sheetView showGridLines="0" tabSelected="1" zoomScale="110" zoomScaleNormal="110" workbookViewId="0">
      <selection activeCell="P10" sqref="P10"/>
    </sheetView>
  </sheetViews>
  <sheetFormatPr defaultColWidth="9" defaultRowHeight="12.75" x14ac:dyDescent="0.2"/>
  <cols>
    <col min="1" max="1" width="14.140625" style="4" customWidth="1"/>
    <col min="2" max="2" width="9.140625" style="3" customWidth="1"/>
    <col min="3" max="3" width="15.42578125" style="1" customWidth="1"/>
    <col min="4" max="4" width="5.85546875" style="3" customWidth="1"/>
    <col min="5" max="5" width="39.140625" style="1" customWidth="1"/>
    <col min="6" max="6" width="7.7109375" style="3" bestFit="1" customWidth="1"/>
    <col min="7" max="7" width="12.140625" style="7" customWidth="1"/>
    <col min="8" max="9" width="12.140625" style="12" customWidth="1"/>
    <col min="10" max="10" width="3.7109375" style="22" customWidth="1"/>
    <col min="11" max="11" width="19" style="1" customWidth="1"/>
    <col min="12" max="12" width="12.140625" style="1" customWidth="1"/>
    <col min="13" max="16384" width="9" style="1"/>
  </cols>
  <sheetData>
    <row r="1" spans="1:12" ht="26.85" customHeight="1" x14ac:dyDescent="0.2">
      <c r="A1" s="19" t="s">
        <v>2377</v>
      </c>
      <c r="I1" s="18"/>
    </row>
    <row r="2" spans="1:12" customFormat="1" x14ac:dyDescent="0.2">
      <c r="A2" s="6"/>
      <c r="B2" s="6"/>
      <c r="C2" s="6"/>
      <c r="D2" s="6"/>
      <c r="E2" s="6"/>
      <c r="F2" s="6"/>
      <c r="G2" s="6"/>
      <c r="H2" s="6"/>
      <c r="I2" s="6"/>
      <c r="J2" s="6"/>
    </row>
    <row r="3" spans="1:12" ht="22.35" customHeight="1" x14ac:dyDescent="0.2">
      <c r="A3" s="48" t="s">
        <v>2366</v>
      </c>
      <c r="B3" s="88" t="s">
        <v>2367</v>
      </c>
      <c r="C3" s="88"/>
      <c r="D3" s="88"/>
      <c r="E3" s="15"/>
      <c r="F3" s="16"/>
      <c r="G3" s="89" t="s">
        <v>2368</v>
      </c>
      <c r="H3" s="89"/>
      <c r="I3" s="17" t="s">
        <v>2371</v>
      </c>
      <c r="K3" s="90" t="s">
        <v>2375</v>
      </c>
      <c r="L3" s="90"/>
    </row>
    <row r="4" spans="1:12" x14ac:dyDescent="0.2">
      <c r="A4" s="20"/>
      <c r="B4" s="21"/>
      <c r="C4" s="22"/>
      <c r="D4" s="21"/>
      <c r="E4" s="22"/>
      <c r="F4" s="21"/>
      <c r="G4" s="23"/>
      <c r="H4" s="24"/>
      <c r="I4" s="24"/>
    </row>
    <row r="5" spans="1:12" x14ac:dyDescent="0.2">
      <c r="A5" s="20"/>
      <c r="B5" s="21"/>
      <c r="C5" s="22"/>
      <c r="D5" s="21"/>
      <c r="E5" s="22"/>
      <c r="F5" s="21"/>
      <c r="G5" s="23"/>
      <c r="H5" s="24"/>
      <c r="I5" s="24"/>
    </row>
    <row r="6" spans="1:12" x14ac:dyDescent="0.2">
      <c r="A6" s="20"/>
      <c r="B6" s="21"/>
      <c r="C6" s="22"/>
      <c r="D6" s="21"/>
      <c r="E6" s="22"/>
      <c r="F6" s="21"/>
      <c r="G6" s="23"/>
      <c r="H6" s="24"/>
      <c r="I6" s="24"/>
    </row>
    <row r="7" spans="1:12" x14ac:dyDescent="0.2">
      <c r="A7" s="20"/>
      <c r="B7" s="21"/>
      <c r="C7" s="22"/>
      <c r="D7" s="21"/>
      <c r="E7" s="22"/>
      <c r="F7" s="21"/>
      <c r="G7" s="23"/>
      <c r="H7" s="24"/>
      <c r="I7" s="24"/>
    </row>
    <row r="8" spans="1:12" x14ac:dyDescent="0.2">
      <c r="A8" s="84" t="s">
        <v>2386</v>
      </c>
      <c r="B8" s="85"/>
      <c r="C8" s="86"/>
      <c r="D8" s="85"/>
      <c r="E8" s="85">
        <f>MATCH(Table2[[#Headers],[Short Description]],parts[#Headers],0)</f>
        <v>3</v>
      </c>
      <c r="F8" s="85">
        <f>MATCH(Table2[[#Headers],[Category]],parts[#Headers],0)</f>
        <v>5</v>
      </c>
      <c r="G8" s="85">
        <f>MATCH(Table2[[#Headers],[Retail Price]],parts[#Headers],0)</f>
        <v>4</v>
      </c>
      <c r="H8" s="86"/>
      <c r="I8" s="86"/>
    </row>
    <row r="9" spans="1:12" s="10" customFormat="1" ht="25.15" customHeight="1" x14ac:dyDescent="0.2">
      <c r="A9" s="8" t="s">
        <v>522</v>
      </c>
      <c r="B9" s="9" t="s">
        <v>2360</v>
      </c>
      <c r="C9" s="10" t="s">
        <v>2380</v>
      </c>
      <c r="D9" s="9" t="s">
        <v>2363</v>
      </c>
      <c r="E9" s="10" t="s">
        <v>2359</v>
      </c>
      <c r="F9" s="9" t="s">
        <v>495</v>
      </c>
      <c r="G9" s="13" t="s">
        <v>2361</v>
      </c>
      <c r="H9" s="11" t="s">
        <v>2362</v>
      </c>
      <c r="I9" s="28" t="s">
        <v>598</v>
      </c>
      <c r="J9" s="34"/>
      <c r="K9" s="26" t="s">
        <v>2380</v>
      </c>
      <c r="L9" s="30" t="s">
        <v>2364</v>
      </c>
    </row>
    <row r="10" spans="1:12" x14ac:dyDescent="0.2">
      <c r="A10" s="5" t="s">
        <v>1028</v>
      </c>
      <c r="B10" s="3">
        <v>1</v>
      </c>
      <c r="C10" s="1" t="str">
        <f>CHOOSE(Table2[[#This Row],[Loc Code]],$K$10,$K$11,$K$12,$K$13,$K$14)</f>
        <v>building core</v>
      </c>
      <c r="D10" s="3">
        <v>2</v>
      </c>
      <c r="E10" s="1" t="str">
        <f>VLOOKUP(Table2[[#This Row],[Item]],parts[],E$8,FALSE)</f>
        <v>FSX 800 chassis bundle includes 1xFI-SX800-S, 2xSX-FISF, 1xSX-ACPWR-SYS, 9xSX-FI-IFPNL, 3xSX-PWR-PNL, &amp; 1xSX-SX800-FAN</v>
      </c>
      <c r="F10" s="3" t="str">
        <f>VLOOKUP(Table2[[#This Row],[Item]],parts[],F$8,FALSE)</f>
        <v>C</v>
      </c>
      <c r="G10" s="87">
        <f>VLOOKUP(Table2[[#This Row],[Item]],parts[],G$8,FALSE)</f>
        <v>19795</v>
      </c>
      <c r="H10" s="31"/>
      <c r="I10" s="29">
        <f>Table2[[#This Row],[Retail Price]]*(1-H10)</f>
        <v>19795</v>
      </c>
      <c r="K10" s="1" t="s">
        <v>1979</v>
      </c>
      <c r="L10" s="7">
        <f>SUMIFS(Table2[Cost],Table2[Installation Location],K10)</f>
        <v>43465</v>
      </c>
    </row>
    <row r="11" spans="1:12" x14ac:dyDescent="0.2">
      <c r="A11" s="2" t="s">
        <v>1054</v>
      </c>
      <c r="B11" s="3">
        <v>1</v>
      </c>
      <c r="C11" s="1" t="str">
        <f>CHOOSE(Table2[[#This Row],[Loc Code]],$K$10,$K$11,$K$12,$K$13,$K$14)</f>
        <v>building core</v>
      </c>
      <c r="D11" s="3">
        <v>2</v>
      </c>
      <c r="E11" s="1" t="str">
        <f>VLOOKUP(Table2[[#This Row],[Item]],parts[],E$8,FALSE)</f>
        <v>90-240 VAC power supply for the FastTRON SuperX family</v>
      </c>
      <c r="F11" s="3" t="str">
        <f>VLOOKUP(Table2[[#This Row],[Item]],parts[],F$8,FALSE)</f>
        <v>B</v>
      </c>
      <c r="G11" s="27">
        <f>VLOOKUP(Table2[[#This Row],[Item]],parts[],G$8,FALSE)</f>
        <v>1645</v>
      </c>
      <c r="H11" s="31"/>
      <c r="I11" s="29">
        <f>Table2[[#This Row],[Retail Price]]*(1-H11)</f>
        <v>1645</v>
      </c>
      <c r="K11" s="1" t="s">
        <v>1980</v>
      </c>
      <c r="L11" s="7">
        <f>SUMIFS(Table2[Cost],Table2[Installation Location],K11)</f>
        <v>55725</v>
      </c>
    </row>
    <row r="12" spans="1:12" x14ac:dyDescent="0.2">
      <c r="A12" s="5" t="s">
        <v>1041</v>
      </c>
      <c r="B12" s="3">
        <v>1</v>
      </c>
      <c r="C12" s="1" t="str">
        <f>CHOOSE(Table2[[#This Row],[Loc Code]],$K$10,$K$11,$K$12,$K$13,$K$14)</f>
        <v>building core</v>
      </c>
      <c r="D12" s="3">
        <v>2</v>
      </c>
      <c r="E12" s="1" t="str">
        <f>VLOOKUP(Table2[[#This Row],[Item]],parts[],E$8,FALSE)</f>
        <v>M3 for the FSX 800 and the FSX 1600 with zero-port</v>
      </c>
      <c r="F12" s="3" t="str">
        <f>VLOOKUP(Table2[[#This Row],[Item]],parts[],F$8,FALSE)</f>
        <v>B</v>
      </c>
      <c r="G12" s="27">
        <f>VLOOKUP(Table2[[#This Row],[Item]],parts[],G$8,FALSE)</f>
        <v>6595</v>
      </c>
      <c r="H12" s="31"/>
      <c r="I12" s="29">
        <f>Table2[[#This Row],[Retail Price]]*(1-H12)</f>
        <v>6595</v>
      </c>
      <c r="K12" s="1" t="s">
        <v>1978</v>
      </c>
      <c r="L12" s="7">
        <f>SUMIFS(Table2[Cost],Table2[Installation Location],K12)</f>
        <v>18950</v>
      </c>
    </row>
    <row r="13" spans="1:12" x14ac:dyDescent="0.2">
      <c r="A13" s="5" t="s">
        <v>1046</v>
      </c>
      <c r="B13" s="3">
        <v>1</v>
      </c>
      <c r="C13" s="1" t="str">
        <f>CHOOSE(Table2[[#This Row],[Loc Code]],$K$10,$K$11,$K$12,$K$13,$K$14)</f>
        <v>building core</v>
      </c>
      <c r="D13" s="3">
        <v>4</v>
      </c>
      <c r="E13" s="1" t="str">
        <f>VLOOKUP(Table2[[#This Row],[Item]],parts[],E$8,FALSE)</f>
        <v>2-port CX4 FISX module bundle</v>
      </c>
      <c r="F13" s="3" t="str">
        <f>VLOOKUP(Table2[[#This Row],[Item]],parts[],F$8,FALSE)</f>
        <v>B</v>
      </c>
      <c r="G13" s="27">
        <f>VLOOKUP(Table2[[#This Row],[Item]],parts[],G$8,FALSE)</f>
        <v>7255</v>
      </c>
      <c r="H13" s="31"/>
      <c r="I13" s="29">
        <f>Table2[[#This Row],[Retail Price]]*(1-H13)</f>
        <v>7255</v>
      </c>
      <c r="K13" s="1" t="s">
        <v>1977</v>
      </c>
      <c r="L13" s="7">
        <f>SUMIFS(Table2[Cost],Table2[Installation Location],K13)</f>
        <v>11805</v>
      </c>
    </row>
    <row r="14" spans="1:12" x14ac:dyDescent="0.2">
      <c r="A14" s="2" t="s">
        <v>1047</v>
      </c>
      <c r="B14" s="3">
        <v>1</v>
      </c>
      <c r="C14" s="1" t="str">
        <f>CHOOSE(Table2[[#This Row],[Loc Code]],$K$10,$K$11,$K$12,$K$13,$K$14)</f>
        <v>building core</v>
      </c>
      <c r="D14" s="3">
        <v>6</v>
      </c>
      <c r="E14" s="1" t="str">
        <f>VLOOKUP(Table2[[#This Row],[Item]],parts[],E$8,FALSE)</f>
        <v>24-port 10/100/1000 Gigabit Ethernet module for FastTRON SuperX family</v>
      </c>
      <c r="F14" s="3" t="str">
        <f>VLOOKUP(Table2[[#This Row],[Item]],parts[],F$8,FALSE)</f>
        <v>B</v>
      </c>
      <c r="G14" s="27">
        <f>VLOOKUP(Table2[[#This Row],[Item]],parts[],G$8,FALSE)</f>
        <v>3845</v>
      </c>
      <c r="H14" s="31"/>
      <c r="I14" s="29">
        <f>Table2[[#This Row],[Retail Price]]*(1-H14)</f>
        <v>3845</v>
      </c>
      <c r="K14" s="1" t="s">
        <v>1976</v>
      </c>
      <c r="L14" s="7">
        <f>SUMIFS(Table2[Cost],Table2[Installation Location],K14)</f>
        <v>3280</v>
      </c>
    </row>
    <row r="15" spans="1:12" ht="15.75" thickBot="1" x14ac:dyDescent="0.3">
      <c r="A15" s="2" t="s">
        <v>1062</v>
      </c>
      <c r="B15" s="3">
        <v>1</v>
      </c>
      <c r="C15" s="1" t="str">
        <f>CHOOSE(Table2[[#This Row],[Loc Code]],$K$10,$K$11,$K$12,$K$13,$K$14)</f>
        <v>building core</v>
      </c>
      <c r="D15" s="3">
        <v>12</v>
      </c>
      <c r="E15" s="1" t="str">
        <f>VLOOKUP(Table2[[#This Row],[Item]],parts[],E$8,FALSE)</f>
        <v>10GbE LR XFP, SMF, LC</v>
      </c>
      <c r="F15" s="3" t="str">
        <f>VLOOKUP(Table2[[#This Row],[Item]],parts[],F$8,FALSE)</f>
        <v>B</v>
      </c>
      <c r="G15" s="27">
        <f>VLOOKUP(Table2[[#This Row],[Item]],parts[],G$8,FALSE)</f>
        <v>2745</v>
      </c>
      <c r="H15" s="31"/>
      <c r="I15" s="29">
        <f>Table2[[#This Row],[Retail Price]]*(1-H15)</f>
        <v>2745</v>
      </c>
      <c r="K15" s="14" t="s">
        <v>2365</v>
      </c>
      <c r="L15" s="25">
        <f>SUM(L10:L14)</f>
        <v>133225</v>
      </c>
    </row>
    <row r="16" spans="1:12" ht="13.5" thickTop="1" x14ac:dyDescent="0.2">
      <c r="A16" s="2" t="s">
        <v>1105</v>
      </c>
      <c r="B16" s="3">
        <v>1</v>
      </c>
      <c r="C16" s="1" t="str">
        <f>CHOOSE(Table2[[#This Row],[Loc Code]],$K$10,$K$11,$K$12,$K$13,$K$14)</f>
        <v>building core</v>
      </c>
      <c r="D16" s="3">
        <v>6</v>
      </c>
      <c r="E16" s="1" t="str">
        <f>VLOOKUP(Table2[[#This Row],[Item]],parts[],E$8,FALSE)</f>
        <v>LX SMF SFP</v>
      </c>
      <c r="F16" s="3" t="str">
        <f>VLOOKUP(Table2[[#This Row],[Item]],parts[],F$8,FALSE)</f>
        <v>B</v>
      </c>
      <c r="G16" s="27">
        <f>VLOOKUP(Table2[[#This Row],[Item]],parts[],G$8,FALSE)</f>
        <v>1095</v>
      </c>
      <c r="H16" s="31"/>
      <c r="I16" s="29">
        <f>Table2[[#This Row],[Retail Price]]*(1-H16)</f>
        <v>1095</v>
      </c>
    </row>
    <row r="17" spans="1:9" x14ac:dyDescent="0.2">
      <c r="A17" s="2" t="s">
        <v>1106</v>
      </c>
      <c r="B17" s="3">
        <v>1</v>
      </c>
      <c r="C17" s="1" t="str">
        <f>CHOOSE(Table2[[#This Row],[Loc Code]],$K$10,$K$11,$K$12,$K$13,$K$14)</f>
        <v>building core</v>
      </c>
      <c r="D17" s="3">
        <v>8</v>
      </c>
      <c r="E17" s="1" t="str">
        <f>VLOOKUP(Table2[[#This Row],[Item]],parts[],E$8,FALSE)</f>
        <v>SX MMF SFP</v>
      </c>
      <c r="F17" s="3" t="str">
        <f>VLOOKUP(Table2[[#This Row],[Item]],parts[],F$8,FALSE)</f>
        <v>A</v>
      </c>
      <c r="G17" s="27">
        <f>VLOOKUP(Table2[[#This Row],[Item]],parts[],G$8,FALSE)</f>
        <v>490</v>
      </c>
      <c r="H17" s="31"/>
      <c r="I17" s="29">
        <f>Table2[[#This Row],[Retail Price]]*(1-H17)</f>
        <v>490</v>
      </c>
    </row>
    <row r="18" spans="1:9" x14ac:dyDescent="0.2">
      <c r="A18" s="5" t="s">
        <v>1028</v>
      </c>
      <c r="B18" s="3">
        <v>2</v>
      </c>
      <c r="C18" s="1" t="str">
        <f>CHOOSE(Table2[[#This Row],[Loc Code]],$K$10,$K$11,$K$12,$K$13,$K$14)</f>
        <v>data centre</v>
      </c>
      <c r="D18" s="3">
        <v>2</v>
      </c>
      <c r="E18" s="1" t="str">
        <f>VLOOKUP(Table2[[#This Row],[Item]],parts[],E$8,FALSE)</f>
        <v>FSX 800 chassis bundle includes 1xFI-SX800-S, 2xSX-FISF, 1xSX-ACPWR-SYS, 9xSX-FI-IFPNL, 3xSX-PWR-PNL, &amp; 1xSX-SX800-FAN</v>
      </c>
      <c r="F18" s="3" t="str">
        <f>VLOOKUP(Table2[[#This Row],[Item]],parts[],F$8,FALSE)</f>
        <v>C</v>
      </c>
      <c r="G18" s="27">
        <f>VLOOKUP(Table2[[#This Row],[Item]],parts[],G$8,FALSE)</f>
        <v>19795</v>
      </c>
      <c r="H18" s="31"/>
      <c r="I18" s="29">
        <f>Table2[[#This Row],[Retail Price]]*(1-H18)</f>
        <v>19795</v>
      </c>
    </row>
    <row r="19" spans="1:9" x14ac:dyDescent="0.2">
      <c r="A19" s="2" t="s">
        <v>1036</v>
      </c>
      <c r="B19" s="3">
        <v>2</v>
      </c>
      <c r="C19" s="1" t="str">
        <f>CHOOSE(Table2[[#This Row],[Loc Code]],$K$10,$K$11,$K$12,$K$13,$K$14)</f>
        <v>data centre</v>
      </c>
      <c r="D19" s="3">
        <v>2</v>
      </c>
      <c r="E19" s="1" t="str">
        <f>VLOOKUP(Table2[[#This Row],[Item]],parts[],E$8,FALSE)</f>
        <v>Full Layer 3 Upgrade Kit for the FastTRON SuperX family. Software includes advanced Layer 2 and full Layer 3 services (BGP-4, OSPF, RIP, VRRP, VRRPE, DVMRP, PIM-SM and PIM-DM).</v>
      </c>
      <c r="F19" s="3" t="str">
        <f>VLOOKUP(Table2[[#This Row],[Item]],parts[],F$8,FALSE)</f>
        <v>C</v>
      </c>
      <c r="G19" s="27">
        <f>VLOOKUP(Table2[[#This Row],[Item]],parts[],G$8,FALSE)</f>
        <v>10995</v>
      </c>
      <c r="H19" s="31"/>
      <c r="I19" s="29">
        <f>Table2[[#This Row],[Retail Price]]*(1-H19)</f>
        <v>10995</v>
      </c>
    </row>
    <row r="20" spans="1:9" x14ac:dyDescent="0.2">
      <c r="A20" s="2" t="s">
        <v>1037</v>
      </c>
      <c r="B20" s="3">
        <v>2</v>
      </c>
      <c r="C20" s="1" t="str">
        <f>CHOOSE(Table2[[#This Row],[Loc Code]],$K$10,$K$11,$K$12,$K$13,$K$14)</f>
        <v>data centre</v>
      </c>
      <c r="D20" s="3">
        <v>2</v>
      </c>
      <c r="E20" s="1" t="str">
        <f>VLOOKUP(Table2[[#This Row],[Item]],parts[],E$8,FALSE)</f>
        <v>FastTRON SuperX Management-1 module with 12 combo copper / fiber Gigabit Ethernet ports (10/100/1000 Mbps (RJ45) or Gigabit Ethernet Fiber (SFP) connectivity per port), 400 MHz processor and 256 MB SDRAM.  Software includes advanced Layer 2 and Base Layer 3 services (static routes and RIP advertisement).</v>
      </c>
      <c r="F20" s="3" t="str">
        <f>VLOOKUP(Table2[[#This Row],[Item]],parts[],F$8,FALSE)</f>
        <v>B</v>
      </c>
      <c r="G20" s="27">
        <f>VLOOKUP(Table2[[#This Row],[Item]],parts[],G$8,FALSE)</f>
        <v>9895</v>
      </c>
      <c r="H20" s="31"/>
      <c r="I20" s="29">
        <f>Table2[[#This Row],[Retail Price]]*(1-H20)</f>
        <v>9895</v>
      </c>
    </row>
    <row r="21" spans="1:9" x14ac:dyDescent="0.2">
      <c r="A21" s="2" t="s">
        <v>1048</v>
      </c>
      <c r="B21" s="3">
        <v>2</v>
      </c>
      <c r="C21" s="1" t="str">
        <f>CHOOSE(Table2[[#This Row],[Loc Code]],$K$10,$K$11,$K$12,$K$13,$K$14)</f>
        <v>data centre</v>
      </c>
      <c r="D21" s="3">
        <v>4</v>
      </c>
      <c r="E21" s="1" t="str">
        <f>VLOOKUP(Table2[[#This Row],[Item]],parts[],E$8,FALSE)</f>
        <v>24-port 10/100/1000 Gigabit Ethernet with POE installed module for FastTRON SuperX family</v>
      </c>
      <c r="F21" s="3" t="str">
        <f>VLOOKUP(Table2[[#This Row],[Item]],parts[],F$8,FALSE)</f>
        <v>B</v>
      </c>
      <c r="G21" s="27">
        <f>VLOOKUP(Table2[[#This Row],[Item]],parts[],G$8,FALSE)</f>
        <v>4395</v>
      </c>
      <c r="H21" s="31"/>
      <c r="I21" s="29">
        <f>Table2[[#This Row],[Retail Price]]*(1-H21)</f>
        <v>4395</v>
      </c>
    </row>
    <row r="22" spans="1:9" x14ac:dyDescent="0.2">
      <c r="A22" s="2" t="s">
        <v>1051</v>
      </c>
      <c r="B22" s="3">
        <v>2</v>
      </c>
      <c r="C22" s="1" t="str">
        <f>CHOOSE(Table2[[#This Row],[Loc Code]],$K$10,$K$11,$K$12,$K$13,$K$14)</f>
        <v>data centre</v>
      </c>
      <c r="D22" s="3">
        <v>6</v>
      </c>
      <c r="E22" s="1" t="str">
        <f>VLOOKUP(Table2[[#This Row],[Item]],parts[],E$8,FALSE)</f>
        <v>2-port XFP 10 Gigabit Ethernet module for FastTRON SuperX family</v>
      </c>
      <c r="F22" s="3" t="str">
        <f>VLOOKUP(Table2[[#This Row],[Item]],parts[],F$8,FALSE)</f>
        <v>B</v>
      </c>
      <c r="G22" s="27">
        <f>VLOOKUP(Table2[[#This Row],[Item]],parts[],G$8,FALSE)</f>
        <v>5495</v>
      </c>
      <c r="H22" s="31"/>
      <c r="I22" s="29">
        <f>Table2[[#This Row],[Retail Price]]*(1-H22)</f>
        <v>5495</v>
      </c>
    </row>
    <row r="23" spans="1:9" x14ac:dyDescent="0.2">
      <c r="A23" s="2" t="s">
        <v>1053</v>
      </c>
      <c r="B23" s="3">
        <v>2</v>
      </c>
      <c r="C23" s="1" t="str">
        <f>CHOOSE(Table2[[#This Row],[Loc Code]],$K$10,$K$11,$K$12,$K$13,$K$14)</f>
        <v>data centre</v>
      </c>
      <c r="D23" s="3">
        <v>6</v>
      </c>
      <c r="E23" s="1" t="str">
        <f>VLOOKUP(Table2[[#This Row],[Item]],parts[],E$8,FALSE)</f>
        <v>POE Add-in Card for 24-port 10/100/1000 modules (Part # SX-FI424C)</v>
      </c>
      <c r="F23" s="3" t="str">
        <f>VLOOKUP(Table2[[#This Row],[Item]],parts[],F$8,FALSE)</f>
        <v>A</v>
      </c>
      <c r="G23" s="27">
        <f>VLOOKUP(Table2[[#This Row],[Item]],parts[],G$8,FALSE)</f>
        <v>550</v>
      </c>
      <c r="H23" s="31"/>
      <c r="I23" s="29">
        <f>Table2[[#This Row],[Retail Price]]*(1-H23)</f>
        <v>550</v>
      </c>
    </row>
    <row r="24" spans="1:9" x14ac:dyDescent="0.2">
      <c r="A24" s="2" t="s">
        <v>1054</v>
      </c>
      <c r="B24" s="3">
        <v>2</v>
      </c>
      <c r="C24" s="1" t="str">
        <f>CHOOSE(Table2[[#This Row],[Loc Code]],$K$10,$K$11,$K$12,$K$13,$K$14)</f>
        <v>data centre</v>
      </c>
      <c r="D24" s="3">
        <v>2</v>
      </c>
      <c r="E24" s="1" t="str">
        <f>VLOOKUP(Table2[[#This Row],[Item]],parts[],E$8,FALSE)</f>
        <v>90-240 VAC power supply for the FastTRON SuperX family</v>
      </c>
      <c r="F24" s="3" t="str">
        <f>VLOOKUP(Table2[[#This Row],[Item]],parts[],F$8,FALSE)</f>
        <v>B</v>
      </c>
      <c r="G24" s="27">
        <f>VLOOKUP(Table2[[#This Row],[Item]],parts[],G$8,FALSE)</f>
        <v>1645</v>
      </c>
      <c r="H24" s="31"/>
      <c r="I24" s="29">
        <f>Table2[[#This Row],[Retail Price]]*(1-H24)</f>
        <v>1645</v>
      </c>
    </row>
    <row r="25" spans="1:9" x14ac:dyDescent="0.2">
      <c r="A25" s="2" t="s">
        <v>1061</v>
      </c>
      <c r="B25" s="3">
        <v>2</v>
      </c>
      <c r="C25" s="1" t="str">
        <f>CHOOSE(Table2[[#This Row],[Loc Code]],$K$10,$K$11,$K$12,$K$13,$K$14)</f>
        <v>data centre</v>
      </c>
      <c r="D25" s="3">
        <v>12</v>
      </c>
      <c r="E25" s="1" t="str">
        <f>VLOOKUP(Table2[[#This Row],[Item]],parts[],E$8,FALSE)</f>
        <v>10GbE SR XFP, MMF, LC</v>
      </c>
      <c r="F25" s="3" t="str">
        <f>VLOOKUP(Table2[[#This Row],[Item]],parts[],F$8,FALSE)</f>
        <v>B</v>
      </c>
      <c r="G25" s="27">
        <f>VLOOKUP(Table2[[#This Row],[Item]],parts[],G$8,FALSE)</f>
        <v>1370</v>
      </c>
      <c r="H25" s="31"/>
      <c r="I25" s="29">
        <f>Table2[[#This Row],[Retail Price]]*(1-H25)</f>
        <v>1370</v>
      </c>
    </row>
    <row r="26" spans="1:9" x14ac:dyDescent="0.2">
      <c r="A26" s="2" t="s">
        <v>1105</v>
      </c>
      <c r="B26" s="3">
        <v>2</v>
      </c>
      <c r="C26" s="1" t="str">
        <f>CHOOSE(Table2[[#This Row],[Loc Code]],$K$10,$K$11,$K$12,$K$13,$K$14)</f>
        <v>data centre</v>
      </c>
      <c r="D26" s="3">
        <v>10</v>
      </c>
      <c r="E26" s="1" t="str">
        <f>VLOOKUP(Table2[[#This Row],[Item]],parts[],E$8,FALSE)</f>
        <v>LX SMF SFP</v>
      </c>
      <c r="F26" s="3" t="str">
        <f>VLOOKUP(Table2[[#This Row],[Item]],parts[],F$8,FALSE)</f>
        <v>B</v>
      </c>
      <c r="G26" s="27">
        <f>VLOOKUP(Table2[[#This Row],[Item]],parts[],G$8,FALSE)</f>
        <v>1095</v>
      </c>
      <c r="H26" s="31"/>
      <c r="I26" s="29">
        <f>Table2[[#This Row],[Retail Price]]*(1-H26)</f>
        <v>1095</v>
      </c>
    </row>
    <row r="27" spans="1:9" x14ac:dyDescent="0.2">
      <c r="A27" s="2" t="s">
        <v>1106</v>
      </c>
      <c r="B27" s="3">
        <v>2</v>
      </c>
      <c r="C27" s="1" t="str">
        <f>CHOOSE(Table2[[#This Row],[Loc Code]],$K$10,$K$11,$K$12,$K$13,$K$14)</f>
        <v>data centre</v>
      </c>
      <c r="D27" s="3">
        <v>14</v>
      </c>
      <c r="E27" s="1" t="str">
        <f>VLOOKUP(Table2[[#This Row],[Item]],parts[],E$8,FALSE)</f>
        <v>SX MMF SFP</v>
      </c>
      <c r="F27" s="3" t="str">
        <f>VLOOKUP(Table2[[#This Row],[Item]],parts[],F$8,FALSE)</f>
        <v>A</v>
      </c>
      <c r="G27" s="27">
        <f>VLOOKUP(Table2[[#This Row],[Item]],parts[],G$8,FALSE)</f>
        <v>490</v>
      </c>
      <c r="H27" s="31"/>
      <c r="I27" s="29">
        <f>Table2[[#This Row],[Retail Price]]*(1-H27)</f>
        <v>490</v>
      </c>
    </row>
    <row r="28" spans="1:9" x14ac:dyDescent="0.2">
      <c r="A28" s="2" t="s">
        <v>845</v>
      </c>
      <c r="B28" s="3">
        <v>3</v>
      </c>
      <c r="C28" s="1" t="str">
        <f>CHOOSE(Table2[[#This Row],[Loc Code]],$K$10,$K$11,$K$12,$K$13,$K$14)</f>
        <v>fibre distribution</v>
      </c>
      <c r="D28" s="3">
        <v>2</v>
      </c>
      <c r="E28" s="1" t="str">
        <f>VLOOKUP(Table2[[#This Row],[Item]],parts[],E$8,FALSE)</f>
        <v>FES-port 100/1000 SFP with 4-port Combo &amp; 1 AC PS.</v>
      </c>
      <c r="F28" s="3" t="str">
        <f>VLOOKUP(Table2[[#This Row],[Item]],parts[],F$8,FALSE)</f>
        <v>C</v>
      </c>
      <c r="G28" s="27">
        <f>VLOOKUP(Table2[[#This Row],[Item]],parts[],G$8,FALSE)</f>
        <v>10995</v>
      </c>
      <c r="H28" s="31"/>
      <c r="I28" s="29">
        <f>Table2[[#This Row],[Retail Price]]*(1-H28)</f>
        <v>10995</v>
      </c>
    </row>
    <row r="29" spans="1:9" x14ac:dyDescent="0.2">
      <c r="A29" s="2" t="s">
        <v>873</v>
      </c>
      <c r="B29" s="3">
        <v>3</v>
      </c>
      <c r="C29" s="1" t="str">
        <f>CHOOSE(Table2[[#This Row],[Loc Code]],$K$10,$K$11,$K$12,$K$13,$K$14)</f>
        <v>fibre distribution</v>
      </c>
      <c r="D29" s="3">
        <v>2</v>
      </c>
      <c r="E29" s="1" t="str">
        <f>VLOOKUP(Table2[[#This Row],[Item]],parts[],E$8,FALSE)</f>
        <v>RPS (220W) FESX424 only</v>
      </c>
      <c r="F29" s="3" t="str">
        <f>VLOOKUP(Table2[[#This Row],[Item]],parts[],F$8,FALSE)</f>
        <v>B</v>
      </c>
      <c r="G29" s="27">
        <f>VLOOKUP(Table2[[#This Row],[Item]],parts[],G$8,FALSE)</f>
        <v>1095</v>
      </c>
      <c r="H29" s="31"/>
      <c r="I29" s="29">
        <f>Table2[[#This Row],[Retail Price]]*(1-H29)</f>
        <v>1095</v>
      </c>
    </row>
    <row r="30" spans="1:9" x14ac:dyDescent="0.2">
      <c r="A30" s="2" t="s">
        <v>870</v>
      </c>
      <c r="B30" s="3">
        <v>3</v>
      </c>
      <c r="C30" s="1" t="str">
        <f>CHOOSE(Table2[[#This Row],[Loc Code]],$K$10,$K$11,$K$12,$K$13,$K$14)</f>
        <v>fibre distribution</v>
      </c>
      <c r="D30" s="3">
        <v>2</v>
      </c>
      <c r="E30" s="1" t="str">
        <f>VLOOKUP(Table2[[#This Row],[Item]],parts[],E$8,FALSE)</f>
        <v>2-port 10GbE XFP module</v>
      </c>
      <c r="F30" s="3" t="str">
        <f>VLOOKUP(Table2[[#This Row],[Item]],parts[],F$8,FALSE)</f>
        <v>B</v>
      </c>
      <c r="G30" s="27">
        <f>VLOOKUP(Table2[[#This Row],[Item]],parts[],G$8,FALSE)</f>
        <v>4395</v>
      </c>
      <c r="H30" s="31"/>
      <c r="I30" s="29">
        <f>Table2[[#This Row],[Retail Price]]*(1-H30)</f>
        <v>4395</v>
      </c>
    </row>
    <row r="31" spans="1:9" x14ac:dyDescent="0.2">
      <c r="A31" s="2" t="s">
        <v>871</v>
      </c>
      <c r="B31" s="3">
        <v>3</v>
      </c>
      <c r="C31" s="1" t="str">
        <f>CHOOSE(Table2[[#This Row],[Loc Code]],$K$10,$K$11,$K$12,$K$13,$K$14)</f>
        <v>fibre distribution</v>
      </c>
      <c r="D31" s="3">
        <v>2</v>
      </c>
      <c r="E31" s="1" t="str">
        <f>VLOOKUP(Table2[[#This Row],[Item]],parts[],E$8,FALSE)</f>
        <v>Layer 3 software upgrade for the FESX424 and the FESX424HF.</v>
      </c>
      <c r="F31" s="3" t="str">
        <f>VLOOKUP(Table2[[#This Row],[Item]],parts[],F$8,FALSE)</f>
        <v>B</v>
      </c>
      <c r="G31" s="27">
        <f>VLOOKUP(Table2[[#This Row],[Item]],parts[],G$8,FALSE)</f>
        <v>1095</v>
      </c>
      <c r="H31" s="31"/>
      <c r="I31" s="29">
        <f>Table2[[#This Row],[Retail Price]]*(1-H31)</f>
        <v>1095</v>
      </c>
    </row>
    <row r="32" spans="1:9" x14ac:dyDescent="0.2">
      <c r="A32" s="2" t="s">
        <v>880</v>
      </c>
      <c r="B32" s="3">
        <v>3</v>
      </c>
      <c r="C32" s="1" t="str">
        <f>CHOOSE(Table2[[#This Row],[Loc Code]],$K$10,$K$11,$K$12,$K$13,$K$14)</f>
        <v>fibre distribution</v>
      </c>
      <c r="D32" s="3">
        <v>4</v>
      </c>
      <c r="E32" s="1" t="str">
        <f>VLOOKUP(Table2[[#This Row],[Item]],parts[],E$8,FALSE)</f>
        <v>10GbE SR XFP, MMF, LC</v>
      </c>
      <c r="F32" s="3" t="str">
        <f>VLOOKUP(Table2[[#This Row],[Item]],parts[],F$8,FALSE)</f>
        <v>B</v>
      </c>
      <c r="G32" s="27">
        <f>VLOOKUP(Table2[[#This Row],[Item]],parts[],G$8,FALSE)</f>
        <v>1370</v>
      </c>
      <c r="H32" s="31"/>
      <c r="I32" s="29">
        <f>Table2[[#This Row],[Retail Price]]*(1-H32)</f>
        <v>1370</v>
      </c>
    </row>
    <row r="33" spans="1:9" x14ac:dyDescent="0.2">
      <c r="A33" s="2" t="s">
        <v>739</v>
      </c>
      <c r="B33" s="3">
        <v>4</v>
      </c>
      <c r="C33" s="1" t="str">
        <f>CHOOSE(Table2[[#This Row],[Loc Code]],$K$10,$K$11,$K$12,$K$13,$K$14)</f>
        <v>main floors</v>
      </c>
      <c r="D33" s="3">
        <v>8</v>
      </c>
      <c r="E33" s="1" t="str">
        <f>VLOOKUP(Table2[[#This Row],[Item]],parts[],E$8,FALSE)</f>
        <v xml:space="preserve">FGS624XGP includes 24-port 10/100/1000 that are PoE upgradeable with 4-port 100/1000 Combo copper/fiber, 1-port XFP 10GbE and one RPS. </v>
      </c>
      <c r="F33" s="3" t="str">
        <f>VLOOKUP(Table2[[#This Row],[Item]],parts[],F$8,FALSE)</f>
        <v>B</v>
      </c>
      <c r="G33" s="27">
        <f>VLOOKUP(Table2[[#This Row],[Item]],parts[],G$8,FALSE)</f>
        <v>6045</v>
      </c>
      <c r="H33" s="31"/>
      <c r="I33" s="29">
        <f>Table2[[#This Row],[Retail Price]]*(1-H33)</f>
        <v>6045</v>
      </c>
    </row>
    <row r="34" spans="1:9" x14ac:dyDescent="0.2">
      <c r="A34" s="2" t="s">
        <v>749</v>
      </c>
      <c r="B34" s="3">
        <v>4</v>
      </c>
      <c r="C34" s="1" t="str">
        <f>CHOOSE(Table2[[#This Row],[Loc Code]],$K$10,$K$11,$K$12,$K$13,$K$14)</f>
        <v>main floors</v>
      </c>
      <c r="D34" s="3">
        <v>8</v>
      </c>
      <c r="E34" s="1" t="str">
        <f>VLOOKUP(Table2[[#This Row],[Item]],parts[],E$8,FALSE)</f>
        <v>600W,  AC PS FGS Only</v>
      </c>
      <c r="F34" s="3" t="str">
        <f>VLOOKUP(Table2[[#This Row],[Item]],parts[],F$8,FALSE)</f>
        <v>B</v>
      </c>
      <c r="G34" s="27">
        <f>VLOOKUP(Table2[[#This Row],[Item]],parts[],G$8,FALSE)</f>
        <v>1645</v>
      </c>
      <c r="H34" s="31"/>
      <c r="I34" s="29">
        <f>Table2[[#This Row],[Retail Price]]*(1-H34)</f>
        <v>1645</v>
      </c>
    </row>
    <row r="35" spans="1:9" x14ac:dyDescent="0.2">
      <c r="A35" s="4" t="s">
        <v>746</v>
      </c>
      <c r="B35" s="3">
        <v>4</v>
      </c>
      <c r="C35" s="1" t="str">
        <f>CHOOSE(Table2[[#This Row],[Loc Code]],$K$10,$K$11,$K$12,$K$13,$K$14)</f>
        <v>main floors</v>
      </c>
      <c r="D35" s="3">
        <v>8</v>
      </c>
      <c r="E35" s="1" t="str">
        <f>VLOOKUP(Table2[[#This Row],[Item]],parts[],E$8,FALSE)</f>
        <v>2-port 10GbE XFP module</v>
      </c>
      <c r="F35" s="3" t="str">
        <f>VLOOKUP(Table2[[#This Row],[Item]],parts[],F$8,FALSE)</f>
        <v>B</v>
      </c>
      <c r="G35" s="27">
        <f>VLOOKUP(Table2[[#This Row],[Item]],parts[],G$8,FALSE)</f>
        <v>2745</v>
      </c>
      <c r="H35" s="31"/>
      <c r="I35" s="29">
        <f>Table2[[#This Row],[Retail Price]]*(1-H35)</f>
        <v>2745</v>
      </c>
    </row>
    <row r="36" spans="1:9" x14ac:dyDescent="0.2">
      <c r="A36" s="2" t="s">
        <v>880</v>
      </c>
      <c r="B36" s="3">
        <v>4</v>
      </c>
      <c r="C36" s="1" t="str">
        <f>CHOOSE(Table2[[#This Row],[Loc Code]],$K$10,$K$11,$K$12,$K$13,$K$14)</f>
        <v>main floors</v>
      </c>
      <c r="D36" s="3">
        <v>16</v>
      </c>
      <c r="E36" s="1" t="str">
        <f>VLOOKUP(Table2[[#This Row],[Item]],parts[],E$8,FALSE)</f>
        <v>10GbE SR XFP, MMF, LC</v>
      </c>
      <c r="F36" s="3" t="str">
        <f>VLOOKUP(Table2[[#This Row],[Item]],parts[],F$8,FALSE)</f>
        <v>B</v>
      </c>
      <c r="G36" s="27">
        <f>VLOOKUP(Table2[[#This Row],[Item]],parts[],G$8,FALSE)</f>
        <v>1370</v>
      </c>
      <c r="H36" s="31"/>
      <c r="I36" s="29">
        <f>Table2[[#This Row],[Retail Price]]*(1-H36)</f>
        <v>1370</v>
      </c>
    </row>
    <row r="37" spans="1:9" x14ac:dyDescent="0.2">
      <c r="A37" s="2" t="s">
        <v>602</v>
      </c>
      <c r="B37" s="3">
        <v>5</v>
      </c>
      <c r="C37" s="1" t="str">
        <f>CHOOSE(Table2[[#This Row],[Loc Code]],$K$10,$K$11,$K$12,$K$13,$K$14)</f>
        <v>remote office buildings</v>
      </c>
      <c r="D37" s="3">
        <v>6</v>
      </c>
      <c r="E37" s="1" t="str">
        <f>VLOOKUP(Table2[[#This Row],[Item]],parts[],E$8,FALSE)</f>
        <v>EIF 48 10/100 + 2 Combo GbE</v>
      </c>
      <c r="F37" s="3" t="str">
        <f>VLOOKUP(Table2[[#This Row],[Item]],parts[],F$8,FALSE)</f>
        <v>B</v>
      </c>
      <c r="G37" s="27">
        <f>VLOOKUP(Table2[[#This Row],[Item]],parts[],G$8,FALSE)</f>
        <v>1695</v>
      </c>
      <c r="H37" s="31"/>
      <c r="I37" s="29">
        <f>Table2[[#This Row],[Retail Price]]*(1-H37)</f>
        <v>1695</v>
      </c>
    </row>
    <row r="38" spans="1:9" x14ac:dyDescent="0.2">
      <c r="A38" s="2" t="s">
        <v>653</v>
      </c>
      <c r="B38" s="3">
        <v>5</v>
      </c>
      <c r="C38" s="1" t="str">
        <f>CHOOSE(Table2[[#This Row],[Loc Code]],$K$10,$K$11,$K$12,$K$13,$K$14)</f>
        <v>remote office buildings</v>
      </c>
      <c r="D38" s="3">
        <v>6</v>
      </c>
      <c r="E38" s="1" t="str">
        <f>VLOOKUP(Table2[[#This Row],[Item]],parts[],E$8,FALSE)</f>
        <v>220W, AC PS for FES</v>
      </c>
      <c r="F38" s="3" t="str">
        <f>VLOOKUP(Table2[[#This Row],[Item]],parts[],F$8,FALSE)</f>
        <v>B</v>
      </c>
      <c r="G38" s="27">
        <f>VLOOKUP(Table2[[#This Row],[Item]],parts[],G$8,FALSE)</f>
        <v>1095</v>
      </c>
      <c r="H38" s="31"/>
      <c r="I38" s="29">
        <f>Table2[[#This Row],[Retail Price]]*(1-H38)</f>
        <v>1095</v>
      </c>
    </row>
    <row r="39" spans="1:9" x14ac:dyDescent="0.2">
      <c r="A39" s="2" t="s">
        <v>609</v>
      </c>
      <c r="B39" s="3">
        <v>5</v>
      </c>
      <c r="C39" s="1" t="str">
        <f>CHOOSE(Table2[[#This Row],[Loc Code]],$K$10,$K$11,$K$12,$K$13,$K$14)</f>
        <v>remote office buildings</v>
      </c>
      <c r="D39" s="3">
        <v>8</v>
      </c>
      <c r="E39" s="1" t="str">
        <f>VLOOKUP(Table2[[#This Row],[Item]],parts[],E$8,FALSE)</f>
        <v>SX MMF SFP</v>
      </c>
      <c r="F39" s="3" t="str">
        <f>VLOOKUP(Table2[[#This Row],[Item]],parts[],F$8,FALSE)</f>
        <v>A</v>
      </c>
      <c r="G39" s="27">
        <f>VLOOKUP(Table2[[#This Row],[Item]],parts[],G$8,FALSE)</f>
        <v>490</v>
      </c>
      <c r="H39" s="31"/>
      <c r="I39" s="29">
        <f>Table2[[#This Row],[Retail Price]]*(1-H39)</f>
        <v>490</v>
      </c>
    </row>
    <row r="40" spans="1:9" x14ac:dyDescent="0.2">
      <c r="A40" s="32" t="s">
        <v>2376</v>
      </c>
      <c r="G40" s="1"/>
      <c r="H40" s="33"/>
      <c r="I40" s="29">
        <f>SUBTOTAL(109,Table2[Cost])</f>
        <v>133225</v>
      </c>
    </row>
  </sheetData>
  <mergeCells count="3">
    <mergeCell ref="B3:D3"/>
    <mergeCell ref="G3:H3"/>
    <mergeCell ref="K3:L3"/>
  </mergeCells>
  <conditionalFormatting sqref="A10:I39">
    <cfRule type="expression" dxfId="30" priority="19">
      <formula>$C10=""</formula>
    </cfRule>
    <cfRule type="expression" dxfId="29" priority="20">
      <formula>OR($C10=$K$11,$C10=$K$13)</formula>
    </cfRule>
    <cfRule type="expression" dxfId="28" priority="21">
      <formula>OR($C10=$K$10,$C10=$K$12,$C10=$K$14)</formula>
    </cfRule>
  </conditionalFormatting>
  <dataValidations count="2">
    <dataValidation type="list" allowBlank="1" showInputMessage="1" showErrorMessage="1" sqref="I3" xr:uid="{00000000-0002-0000-0000-000000000000}">
      <formula1>Customer_Categories</formula1>
    </dataValidation>
    <dataValidation type="list" allowBlank="1" showInputMessage="1" showErrorMessage="1" sqref="A10:A39" xr:uid="{00000000-0002-0000-0000-000001000000}">
      <formula1>Item_Code</formula1>
    </dataValidation>
  </dataValidations>
  <pageMargins left="0.25" right="0.25" top="0.75" bottom="0.75" header="0.3" footer="0.3"/>
  <pageSetup paperSize="9" orientation="landscape" horizontalDpi="75" verticalDpi="75" r:id="rId1"/>
  <headerFooter>
    <oddHeader>&amp;L&amp;P&amp;CNetTRON&amp;R&amp;D</oddHeader>
  </headerFooter>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60"/>
  <sheetViews>
    <sheetView zoomScale="110" zoomScaleNormal="110" workbookViewId="0">
      <selection activeCell="B24" sqref="B24"/>
    </sheetView>
  </sheetViews>
  <sheetFormatPr defaultColWidth="9.140625" defaultRowHeight="12.75" x14ac:dyDescent="0.2"/>
  <cols>
    <col min="1" max="1" width="16.140625" style="5" customWidth="1"/>
    <col min="2" max="2" width="50.28515625" style="35" customWidth="1"/>
    <col min="3" max="3" width="26.7109375" style="35" customWidth="1"/>
    <col min="4" max="4" width="12.7109375" style="36" customWidth="1"/>
    <col min="5" max="5" width="22.28515625" style="56" customWidth="1"/>
    <col min="6" max="6" width="5.85546875" style="56" customWidth="1"/>
    <col min="7" max="7" width="14.5703125" style="56" customWidth="1"/>
    <col min="8" max="8" width="11.140625" style="56" bestFit="1" customWidth="1"/>
    <col min="9" max="11" width="9.140625" style="56"/>
    <col min="12" max="12" width="9.28515625" style="56" bestFit="1" customWidth="1"/>
    <col min="13" max="16384" width="9.140625" style="56"/>
  </cols>
  <sheetData>
    <row r="1" spans="1:8" ht="23.25" x14ac:dyDescent="0.35">
      <c r="A1" s="55" t="s">
        <v>2378</v>
      </c>
    </row>
    <row r="3" spans="1:8" ht="15" x14ac:dyDescent="0.25">
      <c r="A3" s="75" t="s">
        <v>2381</v>
      </c>
      <c r="B3" s="76" t="s">
        <v>2358</v>
      </c>
      <c r="C3" s="77" t="s">
        <v>2359</v>
      </c>
      <c r="D3" s="78" t="s">
        <v>2361</v>
      </c>
      <c r="E3" s="79" t="s">
        <v>495</v>
      </c>
      <c r="G3" s="37" t="s">
        <v>598</v>
      </c>
      <c r="H3" s="37" t="s">
        <v>2379</v>
      </c>
    </row>
    <row r="4" spans="1:8" x14ac:dyDescent="0.2">
      <c r="A4" s="67" t="s">
        <v>601</v>
      </c>
      <c r="B4" s="49" t="s">
        <v>523</v>
      </c>
      <c r="C4" s="49" t="s">
        <v>524</v>
      </c>
      <c r="D4" s="57">
        <v>995</v>
      </c>
      <c r="E4" s="74" t="str">
        <f>VLOOKUP(D4,$G$4:$H$7,2)</f>
        <v>A</v>
      </c>
      <c r="G4" s="50">
        <v>0</v>
      </c>
      <c r="H4" s="51" t="s">
        <v>496</v>
      </c>
    </row>
    <row r="5" spans="1:8" x14ac:dyDescent="0.2">
      <c r="A5" s="67" t="s">
        <v>602</v>
      </c>
      <c r="B5" s="49" t="s">
        <v>525</v>
      </c>
      <c r="C5" s="49" t="s">
        <v>526</v>
      </c>
      <c r="D5" s="57">
        <v>1695</v>
      </c>
      <c r="E5" s="74" t="str">
        <f t="shared" ref="E5:E68" si="0">VLOOKUP(D5,$G$4:$H$7,2)</f>
        <v>B</v>
      </c>
      <c r="G5" s="50">
        <v>1000</v>
      </c>
      <c r="H5" s="51" t="s">
        <v>508</v>
      </c>
    </row>
    <row r="6" spans="1:8" x14ac:dyDescent="0.2">
      <c r="A6" s="67" t="s">
        <v>603</v>
      </c>
      <c r="B6" s="49" t="s">
        <v>1859</v>
      </c>
      <c r="C6" s="49" t="s">
        <v>527</v>
      </c>
      <c r="D6" s="57">
        <v>3295</v>
      </c>
      <c r="E6" s="74" t="str">
        <f t="shared" si="0"/>
        <v>B</v>
      </c>
      <c r="G6" s="50">
        <v>10000</v>
      </c>
      <c r="H6" s="51" t="s">
        <v>498</v>
      </c>
    </row>
    <row r="7" spans="1:8" x14ac:dyDescent="0.2">
      <c r="A7" s="67" t="s">
        <v>604</v>
      </c>
      <c r="B7" s="49" t="s">
        <v>1860</v>
      </c>
      <c r="C7" s="49" t="s">
        <v>528</v>
      </c>
      <c r="D7" s="57">
        <v>4945</v>
      </c>
      <c r="E7" s="74" t="str">
        <f t="shared" si="0"/>
        <v>B</v>
      </c>
      <c r="G7" s="50">
        <v>25000</v>
      </c>
      <c r="H7" s="51" t="s">
        <v>600</v>
      </c>
    </row>
    <row r="8" spans="1:8" x14ac:dyDescent="0.2">
      <c r="A8" s="67" t="s">
        <v>605</v>
      </c>
      <c r="B8" s="49" t="s">
        <v>1861</v>
      </c>
      <c r="C8" s="49" t="s">
        <v>1873</v>
      </c>
      <c r="D8" s="57">
        <v>10995</v>
      </c>
      <c r="E8" s="74" t="str">
        <f t="shared" si="0"/>
        <v>C</v>
      </c>
    </row>
    <row r="9" spans="1:8" x14ac:dyDescent="0.2">
      <c r="A9" s="67" t="s">
        <v>606</v>
      </c>
      <c r="B9" s="49" t="s">
        <v>529</v>
      </c>
      <c r="C9" s="49" t="s">
        <v>530</v>
      </c>
      <c r="D9" s="57">
        <v>1370</v>
      </c>
      <c r="E9" s="74" t="str">
        <f t="shared" si="0"/>
        <v>B</v>
      </c>
    </row>
    <row r="10" spans="1:8" x14ac:dyDescent="0.2">
      <c r="A10" s="67" t="s">
        <v>607</v>
      </c>
      <c r="B10" s="49" t="s">
        <v>531</v>
      </c>
      <c r="C10" s="49" t="s">
        <v>532</v>
      </c>
      <c r="D10" s="57">
        <v>2745</v>
      </c>
      <c r="E10" s="74" t="str">
        <f t="shared" si="0"/>
        <v>B</v>
      </c>
      <c r="H10" s="58"/>
    </row>
    <row r="11" spans="1:8" x14ac:dyDescent="0.2">
      <c r="A11" s="67" t="s">
        <v>608</v>
      </c>
      <c r="B11" s="49" t="s">
        <v>533</v>
      </c>
      <c r="C11" s="49" t="s">
        <v>534</v>
      </c>
      <c r="D11" s="57">
        <v>10995</v>
      </c>
      <c r="E11" s="74" t="str">
        <f t="shared" si="0"/>
        <v>C</v>
      </c>
      <c r="H11" s="58"/>
    </row>
    <row r="12" spans="1:8" x14ac:dyDescent="0.2">
      <c r="A12" s="67" t="s">
        <v>609</v>
      </c>
      <c r="B12" s="49" t="s">
        <v>544</v>
      </c>
      <c r="C12" s="49" t="s">
        <v>545</v>
      </c>
      <c r="D12" s="57">
        <v>490</v>
      </c>
      <c r="E12" s="74" t="str">
        <f t="shared" si="0"/>
        <v>A</v>
      </c>
    </row>
    <row r="13" spans="1:8" x14ac:dyDescent="0.2">
      <c r="A13" s="67" t="s">
        <v>610</v>
      </c>
      <c r="B13" s="49" t="s">
        <v>546</v>
      </c>
      <c r="C13" s="49" t="s">
        <v>547</v>
      </c>
      <c r="D13" s="57">
        <v>1095</v>
      </c>
      <c r="E13" s="74" t="str">
        <f t="shared" si="0"/>
        <v>B</v>
      </c>
    </row>
    <row r="14" spans="1:8" x14ac:dyDescent="0.2">
      <c r="A14" s="67" t="s">
        <v>611</v>
      </c>
      <c r="B14" s="49" t="s">
        <v>548</v>
      </c>
      <c r="C14" s="49" t="s">
        <v>549</v>
      </c>
      <c r="D14" s="57">
        <v>4395</v>
      </c>
      <c r="E14" s="74" t="str">
        <f t="shared" si="0"/>
        <v>B</v>
      </c>
    </row>
    <row r="15" spans="1:8" x14ac:dyDescent="0.2">
      <c r="A15" s="67" t="s">
        <v>612</v>
      </c>
      <c r="B15" s="49" t="s">
        <v>1851</v>
      </c>
      <c r="C15" s="49" t="s">
        <v>550</v>
      </c>
      <c r="D15" s="57">
        <v>5495</v>
      </c>
      <c r="E15" s="74" t="str">
        <f t="shared" si="0"/>
        <v>B</v>
      </c>
    </row>
    <row r="16" spans="1:8" x14ac:dyDescent="0.2">
      <c r="A16" s="67" t="s">
        <v>613</v>
      </c>
      <c r="B16" s="49" t="s">
        <v>1852</v>
      </c>
      <c r="C16" s="49" t="s">
        <v>551</v>
      </c>
      <c r="D16" s="57">
        <v>5495</v>
      </c>
      <c r="E16" s="74" t="str">
        <f t="shared" si="0"/>
        <v>B</v>
      </c>
    </row>
    <row r="17" spans="1:5" x14ac:dyDescent="0.2">
      <c r="A17" s="67" t="s">
        <v>614</v>
      </c>
      <c r="B17" s="49" t="s">
        <v>1853</v>
      </c>
      <c r="C17" s="49" t="s">
        <v>552</v>
      </c>
      <c r="D17" s="57">
        <v>5495</v>
      </c>
      <c r="E17" s="74" t="str">
        <f t="shared" si="0"/>
        <v>B</v>
      </c>
    </row>
    <row r="18" spans="1:5" x14ac:dyDescent="0.2">
      <c r="A18" s="67" t="s">
        <v>615</v>
      </c>
      <c r="B18" s="49" t="s">
        <v>1854</v>
      </c>
      <c r="C18" s="49" t="s">
        <v>553</v>
      </c>
      <c r="D18" s="57">
        <v>5495</v>
      </c>
      <c r="E18" s="74" t="str">
        <f t="shared" si="0"/>
        <v>B</v>
      </c>
    </row>
    <row r="19" spans="1:5" x14ac:dyDescent="0.2">
      <c r="A19" s="67" t="s">
        <v>616</v>
      </c>
      <c r="B19" s="49" t="s">
        <v>1855</v>
      </c>
      <c r="C19" s="49" t="s">
        <v>554</v>
      </c>
      <c r="D19" s="57">
        <v>5495</v>
      </c>
      <c r="E19" s="74" t="str">
        <f t="shared" si="0"/>
        <v>B</v>
      </c>
    </row>
    <row r="20" spans="1:5" x14ac:dyDescent="0.2">
      <c r="A20" s="67" t="s">
        <v>617</v>
      </c>
      <c r="B20" s="49" t="s">
        <v>1856</v>
      </c>
      <c r="C20" s="49" t="s">
        <v>555</v>
      </c>
      <c r="D20" s="57">
        <v>5495</v>
      </c>
      <c r="E20" s="74" t="str">
        <f t="shared" si="0"/>
        <v>B</v>
      </c>
    </row>
    <row r="21" spans="1:5" x14ac:dyDescent="0.2">
      <c r="A21" s="67" t="s">
        <v>618</v>
      </c>
      <c r="B21" s="49" t="s">
        <v>1857</v>
      </c>
      <c r="C21" s="49" t="s">
        <v>556</v>
      </c>
      <c r="D21" s="57">
        <v>5495</v>
      </c>
      <c r="E21" s="74" t="str">
        <f t="shared" si="0"/>
        <v>B</v>
      </c>
    </row>
    <row r="22" spans="1:5" x14ac:dyDescent="0.2">
      <c r="A22" s="67" t="s">
        <v>619</v>
      </c>
      <c r="B22" s="49" t="s">
        <v>1858</v>
      </c>
      <c r="C22" s="49" t="s">
        <v>557</v>
      </c>
      <c r="D22" s="57">
        <v>5495</v>
      </c>
      <c r="E22" s="74" t="str">
        <f t="shared" si="0"/>
        <v>B</v>
      </c>
    </row>
    <row r="23" spans="1:5" x14ac:dyDescent="0.2">
      <c r="A23" s="67" t="s">
        <v>620</v>
      </c>
      <c r="B23" s="49" t="s">
        <v>558</v>
      </c>
      <c r="C23" s="49" t="s">
        <v>559</v>
      </c>
      <c r="D23" s="57">
        <v>2795</v>
      </c>
      <c r="E23" s="74" t="str">
        <f t="shared" si="0"/>
        <v>B</v>
      </c>
    </row>
    <row r="24" spans="1:5" x14ac:dyDescent="0.2">
      <c r="A24" s="67" t="s">
        <v>621</v>
      </c>
      <c r="B24" s="49" t="s">
        <v>560</v>
      </c>
      <c r="C24" s="49" t="s">
        <v>561</v>
      </c>
      <c r="D24" s="57">
        <v>4995</v>
      </c>
      <c r="E24" s="74" t="str">
        <f t="shared" si="0"/>
        <v>B</v>
      </c>
    </row>
    <row r="25" spans="1:5" x14ac:dyDescent="0.2">
      <c r="A25" s="67" t="s">
        <v>622</v>
      </c>
      <c r="B25" s="49" t="s">
        <v>562</v>
      </c>
      <c r="C25" s="49" t="s">
        <v>563</v>
      </c>
      <c r="D25" s="57">
        <v>9395</v>
      </c>
      <c r="E25" s="74" t="str">
        <f t="shared" si="0"/>
        <v>B</v>
      </c>
    </row>
    <row r="26" spans="1:5" x14ac:dyDescent="0.2">
      <c r="A26" s="67" t="s">
        <v>623</v>
      </c>
      <c r="B26" s="49" t="s">
        <v>564</v>
      </c>
      <c r="C26" s="49" t="s">
        <v>565</v>
      </c>
      <c r="D26" s="57">
        <v>3095</v>
      </c>
      <c r="E26" s="74" t="str">
        <f t="shared" si="0"/>
        <v>B</v>
      </c>
    </row>
    <row r="27" spans="1:5" x14ac:dyDescent="0.2">
      <c r="A27" s="67" t="s">
        <v>624</v>
      </c>
      <c r="B27" s="49" t="s">
        <v>566</v>
      </c>
      <c r="C27" s="49" t="s">
        <v>567</v>
      </c>
      <c r="D27" s="57">
        <v>5295</v>
      </c>
      <c r="E27" s="74" t="str">
        <f t="shared" si="0"/>
        <v>B</v>
      </c>
    </row>
    <row r="28" spans="1:5" x14ac:dyDescent="0.2">
      <c r="A28" s="67" t="s">
        <v>625</v>
      </c>
      <c r="B28" s="49" t="s">
        <v>568</v>
      </c>
      <c r="C28" s="49" t="s">
        <v>569</v>
      </c>
      <c r="D28" s="57">
        <v>9695</v>
      </c>
      <c r="E28" s="74" t="str">
        <f t="shared" si="0"/>
        <v>B</v>
      </c>
    </row>
    <row r="29" spans="1:5" x14ac:dyDescent="0.2">
      <c r="A29" s="67" t="s">
        <v>626</v>
      </c>
      <c r="B29" s="49" t="s">
        <v>558</v>
      </c>
      <c r="C29" s="49" t="s">
        <v>570</v>
      </c>
      <c r="D29" s="57">
        <v>4395</v>
      </c>
      <c r="E29" s="74" t="str">
        <f t="shared" si="0"/>
        <v>B</v>
      </c>
    </row>
    <row r="30" spans="1:5" x14ac:dyDescent="0.2">
      <c r="A30" s="67" t="s">
        <v>627</v>
      </c>
      <c r="B30" s="49" t="s">
        <v>560</v>
      </c>
      <c r="C30" s="49" t="s">
        <v>571</v>
      </c>
      <c r="D30" s="57">
        <v>7195</v>
      </c>
      <c r="E30" s="74" t="str">
        <f t="shared" si="0"/>
        <v>B</v>
      </c>
    </row>
    <row r="31" spans="1:5" x14ac:dyDescent="0.2">
      <c r="A31" s="67" t="s">
        <v>628</v>
      </c>
      <c r="B31" s="49" t="s">
        <v>562</v>
      </c>
      <c r="C31" s="49" t="s">
        <v>572</v>
      </c>
      <c r="D31" s="57">
        <v>13795</v>
      </c>
      <c r="E31" s="74" t="str">
        <f t="shared" si="0"/>
        <v>C</v>
      </c>
    </row>
    <row r="32" spans="1:5" x14ac:dyDescent="0.2">
      <c r="A32" s="67" t="s">
        <v>629</v>
      </c>
      <c r="B32" s="49" t="s">
        <v>564</v>
      </c>
      <c r="C32" s="49" t="s">
        <v>573</v>
      </c>
      <c r="D32" s="57">
        <v>4795</v>
      </c>
      <c r="E32" s="74" t="str">
        <f t="shared" si="0"/>
        <v>B</v>
      </c>
    </row>
    <row r="33" spans="1:5" x14ac:dyDescent="0.2">
      <c r="A33" s="67" t="s">
        <v>630</v>
      </c>
      <c r="B33" s="49" t="s">
        <v>566</v>
      </c>
      <c r="C33" s="49" t="s">
        <v>574</v>
      </c>
      <c r="D33" s="57">
        <v>7495</v>
      </c>
      <c r="E33" s="74" t="str">
        <f t="shared" si="0"/>
        <v>B</v>
      </c>
    </row>
    <row r="34" spans="1:5" x14ac:dyDescent="0.2">
      <c r="A34" s="67" t="s">
        <v>631</v>
      </c>
      <c r="B34" s="49" t="s">
        <v>568</v>
      </c>
      <c r="C34" s="49" t="s">
        <v>575</v>
      </c>
      <c r="D34" s="57">
        <v>14095</v>
      </c>
      <c r="E34" s="74" t="str">
        <f t="shared" si="0"/>
        <v>C</v>
      </c>
    </row>
    <row r="35" spans="1:5" x14ac:dyDescent="0.2">
      <c r="A35" s="67" t="s">
        <v>632</v>
      </c>
      <c r="B35" s="49" t="s">
        <v>1907</v>
      </c>
      <c r="C35" s="49" t="s">
        <v>1907</v>
      </c>
      <c r="D35" s="57">
        <v>3845</v>
      </c>
      <c r="E35" s="74" t="str">
        <f t="shared" si="0"/>
        <v>B</v>
      </c>
    </row>
    <row r="36" spans="1:5" x14ac:dyDescent="0.2">
      <c r="A36" s="67" t="s">
        <v>633</v>
      </c>
      <c r="B36" s="49" t="s">
        <v>1907</v>
      </c>
      <c r="C36" s="49" t="s">
        <v>1907</v>
      </c>
      <c r="D36" s="57">
        <v>6045</v>
      </c>
      <c r="E36" s="74" t="str">
        <f t="shared" si="0"/>
        <v>B</v>
      </c>
    </row>
    <row r="37" spans="1:5" x14ac:dyDescent="0.2">
      <c r="A37" s="67" t="s">
        <v>634</v>
      </c>
      <c r="B37" s="49" t="s">
        <v>1908</v>
      </c>
      <c r="C37" s="49" t="s">
        <v>1908</v>
      </c>
      <c r="D37" s="57">
        <v>10445</v>
      </c>
      <c r="E37" s="74" t="str">
        <f t="shared" si="0"/>
        <v>C</v>
      </c>
    </row>
    <row r="38" spans="1:5" x14ac:dyDescent="0.2">
      <c r="A38" s="67" t="s">
        <v>635</v>
      </c>
      <c r="B38" s="49" t="s">
        <v>1982</v>
      </c>
      <c r="C38" s="49" t="s">
        <v>1982</v>
      </c>
      <c r="D38" s="57">
        <v>4175</v>
      </c>
      <c r="E38" s="74" t="str">
        <f t="shared" si="0"/>
        <v>B</v>
      </c>
    </row>
    <row r="39" spans="1:5" x14ac:dyDescent="0.2">
      <c r="A39" s="67" t="s">
        <v>636</v>
      </c>
      <c r="B39" s="49" t="s">
        <v>1983</v>
      </c>
      <c r="C39" s="49" t="s">
        <v>1983</v>
      </c>
      <c r="D39" s="57">
        <v>6375</v>
      </c>
      <c r="E39" s="74" t="str">
        <f t="shared" si="0"/>
        <v>B</v>
      </c>
    </row>
    <row r="40" spans="1:5" x14ac:dyDescent="0.2">
      <c r="A40" s="67" t="s">
        <v>637</v>
      </c>
      <c r="B40" s="49" t="s">
        <v>1984</v>
      </c>
      <c r="C40" s="49" t="s">
        <v>1984</v>
      </c>
      <c r="D40" s="57">
        <v>10775</v>
      </c>
      <c r="E40" s="74" t="str">
        <f t="shared" si="0"/>
        <v>C</v>
      </c>
    </row>
    <row r="41" spans="1:5" x14ac:dyDescent="0.2">
      <c r="A41" s="67" t="s">
        <v>638</v>
      </c>
      <c r="B41" s="49" t="s">
        <v>1985</v>
      </c>
      <c r="C41" s="49" t="s">
        <v>1985</v>
      </c>
      <c r="D41" s="57">
        <v>4395</v>
      </c>
      <c r="E41" s="74" t="str">
        <f t="shared" si="0"/>
        <v>B</v>
      </c>
    </row>
    <row r="42" spans="1:5" x14ac:dyDescent="0.2">
      <c r="A42" s="67" t="s">
        <v>639</v>
      </c>
      <c r="B42" s="49" t="s">
        <v>1986</v>
      </c>
      <c r="C42" s="49" t="s">
        <v>1986</v>
      </c>
      <c r="D42" s="57">
        <v>6595</v>
      </c>
      <c r="E42" s="74" t="str">
        <f t="shared" si="0"/>
        <v>B</v>
      </c>
    </row>
    <row r="43" spans="1:5" x14ac:dyDescent="0.2">
      <c r="A43" s="67" t="s">
        <v>640</v>
      </c>
      <c r="B43" s="49" t="s">
        <v>1987</v>
      </c>
      <c r="C43" s="49" t="s">
        <v>1988</v>
      </c>
      <c r="D43" s="57">
        <v>1095</v>
      </c>
      <c r="E43" s="74" t="str">
        <f t="shared" si="0"/>
        <v>B</v>
      </c>
    </row>
    <row r="44" spans="1:5" x14ac:dyDescent="0.2">
      <c r="A44" s="67" t="s">
        <v>641</v>
      </c>
      <c r="B44" s="49" t="s">
        <v>1909</v>
      </c>
      <c r="C44" s="49" t="s">
        <v>576</v>
      </c>
      <c r="D44" s="57">
        <v>6595</v>
      </c>
      <c r="E44" s="74" t="str">
        <f t="shared" si="0"/>
        <v>B</v>
      </c>
    </row>
    <row r="45" spans="1:5" x14ac:dyDescent="0.2">
      <c r="A45" s="67" t="s">
        <v>642</v>
      </c>
      <c r="B45" s="49" t="s">
        <v>1910</v>
      </c>
      <c r="C45" s="49" t="s">
        <v>577</v>
      </c>
      <c r="D45" s="57">
        <v>6925</v>
      </c>
      <c r="E45" s="74" t="str">
        <f t="shared" si="0"/>
        <v>B</v>
      </c>
    </row>
    <row r="46" spans="1:5" x14ac:dyDescent="0.2">
      <c r="A46" s="67" t="s">
        <v>643</v>
      </c>
      <c r="B46" s="49" t="s">
        <v>1909</v>
      </c>
      <c r="C46" s="49" t="s">
        <v>578</v>
      </c>
      <c r="D46" s="57">
        <v>8795</v>
      </c>
      <c r="E46" s="74" t="str">
        <f t="shared" si="0"/>
        <v>B</v>
      </c>
    </row>
    <row r="47" spans="1:5" x14ac:dyDescent="0.2">
      <c r="A47" s="67" t="s">
        <v>644</v>
      </c>
      <c r="B47" s="49" t="s">
        <v>1910</v>
      </c>
      <c r="C47" s="49" t="s">
        <v>579</v>
      </c>
      <c r="D47" s="57">
        <v>9125</v>
      </c>
      <c r="E47" s="74" t="str">
        <f t="shared" si="0"/>
        <v>B</v>
      </c>
    </row>
    <row r="48" spans="1:5" x14ac:dyDescent="0.2">
      <c r="A48" s="67" t="s">
        <v>645</v>
      </c>
      <c r="B48" s="49" t="s">
        <v>1874</v>
      </c>
      <c r="C48" s="49" t="s">
        <v>580</v>
      </c>
      <c r="D48" s="57">
        <v>3295</v>
      </c>
      <c r="E48" s="74" t="str">
        <f t="shared" si="0"/>
        <v>B</v>
      </c>
    </row>
    <row r="49" spans="1:5" x14ac:dyDescent="0.2">
      <c r="A49" s="67" t="s">
        <v>646</v>
      </c>
      <c r="B49" s="49" t="s">
        <v>1875</v>
      </c>
      <c r="C49" s="49" t="s">
        <v>581</v>
      </c>
      <c r="D49" s="57">
        <v>5495</v>
      </c>
      <c r="E49" s="74" t="str">
        <f t="shared" si="0"/>
        <v>B</v>
      </c>
    </row>
    <row r="50" spans="1:5" x14ac:dyDescent="0.2">
      <c r="A50" s="67" t="s">
        <v>647</v>
      </c>
      <c r="B50" s="49" t="s">
        <v>1876</v>
      </c>
      <c r="C50" s="49" t="s">
        <v>582</v>
      </c>
      <c r="D50" s="57">
        <v>4995</v>
      </c>
      <c r="E50" s="74" t="str">
        <f t="shared" si="0"/>
        <v>B</v>
      </c>
    </row>
    <row r="51" spans="1:5" x14ac:dyDescent="0.2">
      <c r="A51" s="67" t="s">
        <v>648</v>
      </c>
      <c r="B51" s="49" t="s">
        <v>1877</v>
      </c>
      <c r="C51" s="49" t="s">
        <v>583</v>
      </c>
      <c r="D51" s="57">
        <v>7695</v>
      </c>
      <c r="E51" s="74" t="str">
        <f t="shared" si="0"/>
        <v>B</v>
      </c>
    </row>
    <row r="52" spans="1:5" x14ac:dyDescent="0.2">
      <c r="A52" s="67" t="s">
        <v>649</v>
      </c>
      <c r="B52" s="49" t="s">
        <v>1868</v>
      </c>
      <c r="C52" s="49" t="s">
        <v>584</v>
      </c>
      <c r="D52" s="57">
        <v>1645</v>
      </c>
      <c r="E52" s="74" t="str">
        <f t="shared" si="0"/>
        <v>B</v>
      </c>
    </row>
    <row r="53" spans="1:5" x14ac:dyDescent="0.2">
      <c r="A53" s="67" t="s">
        <v>650</v>
      </c>
      <c r="B53" s="49" t="s">
        <v>1869</v>
      </c>
      <c r="C53" s="49" t="s">
        <v>584</v>
      </c>
      <c r="D53" s="57">
        <v>2195</v>
      </c>
      <c r="E53" s="74" t="str">
        <f t="shared" si="0"/>
        <v>B</v>
      </c>
    </row>
    <row r="54" spans="1:5" x14ac:dyDescent="0.2">
      <c r="A54" s="67" t="s">
        <v>651</v>
      </c>
      <c r="B54" s="49" t="s">
        <v>1870</v>
      </c>
      <c r="C54" s="49" t="s">
        <v>585</v>
      </c>
      <c r="D54" s="57">
        <v>4395</v>
      </c>
      <c r="E54" s="74" t="str">
        <f t="shared" si="0"/>
        <v>B</v>
      </c>
    </row>
    <row r="55" spans="1:5" x14ac:dyDescent="0.2">
      <c r="A55" s="67" t="s">
        <v>652</v>
      </c>
      <c r="B55" s="49" t="s">
        <v>1864</v>
      </c>
      <c r="C55" s="49" t="s">
        <v>586</v>
      </c>
      <c r="D55" s="57">
        <v>2195</v>
      </c>
      <c r="E55" s="74" t="str">
        <f t="shared" si="0"/>
        <v>B</v>
      </c>
    </row>
    <row r="56" spans="1:5" x14ac:dyDescent="0.2">
      <c r="A56" s="67" t="s">
        <v>653</v>
      </c>
      <c r="B56" s="49" t="s">
        <v>1989</v>
      </c>
      <c r="C56" s="49" t="s">
        <v>2309</v>
      </c>
      <c r="D56" s="57">
        <v>1095</v>
      </c>
      <c r="E56" s="74" t="str">
        <f t="shared" si="0"/>
        <v>B</v>
      </c>
    </row>
    <row r="57" spans="1:5" x14ac:dyDescent="0.2">
      <c r="A57" s="67" t="s">
        <v>654</v>
      </c>
      <c r="B57" s="49" t="s">
        <v>1865</v>
      </c>
      <c r="C57" s="49" t="s">
        <v>587</v>
      </c>
      <c r="D57" s="57">
        <v>1425</v>
      </c>
      <c r="E57" s="74" t="str">
        <f t="shared" si="0"/>
        <v>B</v>
      </c>
    </row>
    <row r="58" spans="1:5" x14ac:dyDescent="0.2">
      <c r="A58" s="67" t="s">
        <v>655</v>
      </c>
      <c r="B58" s="49" t="s">
        <v>1871</v>
      </c>
      <c r="C58" s="49" t="s">
        <v>1878</v>
      </c>
      <c r="D58" s="57">
        <v>1645</v>
      </c>
      <c r="E58" s="74" t="str">
        <f t="shared" si="0"/>
        <v>B</v>
      </c>
    </row>
    <row r="59" spans="1:5" x14ac:dyDescent="0.2">
      <c r="A59" s="68" t="s">
        <v>656</v>
      </c>
      <c r="B59" s="49" t="s">
        <v>1872</v>
      </c>
      <c r="C59" s="49" t="s">
        <v>1879</v>
      </c>
      <c r="D59" s="57">
        <v>1975</v>
      </c>
      <c r="E59" s="74" t="str">
        <f t="shared" si="0"/>
        <v>B</v>
      </c>
    </row>
    <row r="60" spans="1:5" x14ac:dyDescent="0.2">
      <c r="A60" s="69" t="s">
        <v>657</v>
      </c>
      <c r="B60" s="63" t="s">
        <v>2229</v>
      </c>
      <c r="C60" s="63" t="s">
        <v>2229</v>
      </c>
      <c r="D60" s="38">
        <v>55</v>
      </c>
      <c r="E60" s="74" t="str">
        <f t="shared" si="0"/>
        <v>A</v>
      </c>
    </row>
    <row r="61" spans="1:5" x14ac:dyDescent="0.2">
      <c r="A61" s="67" t="s">
        <v>658</v>
      </c>
      <c r="B61" s="49" t="s">
        <v>588</v>
      </c>
      <c r="C61" s="49" t="s">
        <v>589</v>
      </c>
      <c r="D61" s="57">
        <v>5495</v>
      </c>
      <c r="E61" s="74" t="str">
        <f t="shared" si="0"/>
        <v>B</v>
      </c>
    </row>
    <row r="62" spans="1:5" x14ac:dyDescent="0.2">
      <c r="A62" s="67" t="s">
        <v>659</v>
      </c>
      <c r="B62" s="49" t="s">
        <v>590</v>
      </c>
      <c r="C62" s="49" t="s">
        <v>591</v>
      </c>
      <c r="D62" s="57">
        <v>490</v>
      </c>
      <c r="E62" s="74" t="str">
        <f t="shared" si="0"/>
        <v>A</v>
      </c>
    </row>
    <row r="63" spans="1:5" x14ac:dyDescent="0.2">
      <c r="A63" s="67" t="s">
        <v>660</v>
      </c>
      <c r="B63" s="49" t="s">
        <v>592</v>
      </c>
      <c r="C63" s="49" t="s">
        <v>593</v>
      </c>
      <c r="D63" s="57">
        <v>490</v>
      </c>
      <c r="E63" s="74" t="str">
        <f t="shared" si="0"/>
        <v>A</v>
      </c>
    </row>
    <row r="64" spans="1:5" x14ac:dyDescent="0.2">
      <c r="A64" s="67" t="s">
        <v>661</v>
      </c>
      <c r="B64" s="49" t="s">
        <v>594</v>
      </c>
      <c r="C64" s="49" t="s">
        <v>595</v>
      </c>
      <c r="D64" s="57">
        <v>4395</v>
      </c>
      <c r="E64" s="74" t="str">
        <f t="shared" si="0"/>
        <v>B</v>
      </c>
    </row>
    <row r="65" spans="1:5" x14ac:dyDescent="0.2">
      <c r="A65" s="68" t="s">
        <v>662</v>
      </c>
      <c r="B65" s="39" t="s">
        <v>2230</v>
      </c>
      <c r="C65" s="39" t="s">
        <v>2230</v>
      </c>
      <c r="D65" s="38">
        <v>3295</v>
      </c>
      <c r="E65" s="74" t="str">
        <f t="shared" si="0"/>
        <v>B</v>
      </c>
    </row>
    <row r="66" spans="1:5" x14ac:dyDescent="0.2">
      <c r="A66" s="68" t="s">
        <v>663</v>
      </c>
      <c r="B66" s="39" t="s">
        <v>2231</v>
      </c>
      <c r="C66" s="39" t="s">
        <v>2231</v>
      </c>
      <c r="D66" s="38">
        <v>4945</v>
      </c>
      <c r="E66" s="74" t="str">
        <f t="shared" si="0"/>
        <v>B</v>
      </c>
    </row>
    <row r="67" spans="1:5" x14ac:dyDescent="0.2">
      <c r="A67" s="68" t="s">
        <v>664</v>
      </c>
      <c r="B67" s="39" t="s">
        <v>2232</v>
      </c>
      <c r="C67" s="39" t="s">
        <v>499</v>
      </c>
      <c r="D67" s="38">
        <v>1095</v>
      </c>
      <c r="E67" s="74" t="str">
        <f t="shared" si="0"/>
        <v>B</v>
      </c>
    </row>
    <row r="68" spans="1:5" x14ac:dyDescent="0.2">
      <c r="A68" s="67" t="s">
        <v>665</v>
      </c>
      <c r="B68" s="49" t="s">
        <v>497</v>
      </c>
      <c r="C68" s="49" t="s">
        <v>497</v>
      </c>
      <c r="D68" s="57">
        <v>1645</v>
      </c>
      <c r="E68" s="74" t="str">
        <f t="shared" si="0"/>
        <v>B</v>
      </c>
    </row>
    <row r="69" spans="1:5" x14ac:dyDescent="0.2">
      <c r="A69" s="67" t="s">
        <v>666</v>
      </c>
      <c r="B69" s="49" t="s">
        <v>351</v>
      </c>
      <c r="C69" s="49" t="s">
        <v>352</v>
      </c>
      <c r="D69" s="57">
        <v>185</v>
      </c>
      <c r="E69" s="74" t="str">
        <f t="shared" ref="E69:E132" si="1">VLOOKUP(D69,$G$4:$H$7,2)</f>
        <v>A</v>
      </c>
    </row>
    <row r="70" spans="1:5" x14ac:dyDescent="0.2">
      <c r="A70" s="68" t="s">
        <v>667</v>
      </c>
      <c r="B70" s="39" t="s">
        <v>500</v>
      </c>
      <c r="C70" s="39" t="s">
        <v>353</v>
      </c>
      <c r="D70" s="38">
        <v>325</v>
      </c>
      <c r="E70" s="74" t="str">
        <f t="shared" si="1"/>
        <v>A</v>
      </c>
    </row>
    <row r="71" spans="1:5" x14ac:dyDescent="0.2">
      <c r="A71" s="68" t="s">
        <v>668</v>
      </c>
      <c r="B71" s="39" t="s">
        <v>501</v>
      </c>
      <c r="C71" s="39" t="s">
        <v>354</v>
      </c>
      <c r="D71" s="38">
        <v>435</v>
      </c>
      <c r="E71" s="74" t="str">
        <f t="shared" si="1"/>
        <v>A</v>
      </c>
    </row>
    <row r="72" spans="1:5" x14ac:dyDescent="0.2">
      <c r="A72" s="67" t="s">
        <v>669</v>
      </c>
      <c r="B72" s="49" t="s">
        <v>355</v>
      </c>
      <c r="C72" s="49" t="s">
        <v>356</v>
      </c>
      <c r="D72" s="57">
        <v>435</v>
      </c>
      <c r="E72" s="74" t="str">
        <f t="shared" si="1"/>
        <v>A</v>
      </c>
    </row>
    <row r="73" spans="1:5" x14ac:dyDescent="0.2">
      <c r="A73" s="67" t="s">
        <v>670</v>
      </c>
      <c r="B73" s="49" t="s">
        <v>357</v>
      </c>
      <c r="C73" s="49" t="s">
        <v>358</v>
      </c>
      <c r="D73" s="57">
        <v>435</v>
      </c>
      <c r="E73" s="74" t="str">
        <f t="shared" si="1"/>
        <v>A</v>
      </c>
    </row>
    <row r="74" spans="1:5" x14ac:dyDescent="0.2">
      <c r="A74" s="67" t="s">
        <v>671</v>
      </c>
      <c r="B74" s="49" t="s">
        <v>359</v>
      </c>
      <c r="C74" s="49" t="s">
        <v>360</v>
      </c>
      <c r="D74" s="57">
        <v>325</v>
      </c>
      <c r="E74" s="74" t="str">
        <f t="shared" si="1"/>
        <v>A</v>
      </c>
    </row>
    <row r="75" spans="1:5" x14ac:dyDescent="0.2">
      <c r="A75" s="67" t="s">
        <v>672</v>
      </c>
      <c r="B75" s="49" t="s">
        <v>544</v>
      </c>
      <c r="C75" s="49" t="s">
        <v>545</v>
      </c>
      <c r="D75" s="57">
        <v>490</v>
      </c>
      <c r="E75" s="74" t="str">
        <f t="shared" si="1"/>
        <v>A</v>
      </c>
    </row>
    <row r="76" spans="1:5" x14ac:dyDescent="0.2">
      <c r="A76" s="67" t="s">
        <v>673</v>
      </c>
      <c r="B76" s="49" t="s">
        <v>592</v>
      </c>
      <c r="C76" s="49" t="s">
        <v>593</v>
      </c>
      <c r="D76" s="57">
        <v>490</v>
      </c>
      <c r="E76" s="74" t="str">
        <f t="shared" si="1"/>
        <v>A</v>
      </c>
    </row>
    <row r="77" spans="1:5" x14ac:dyDescent="0.2">
      <c r="A77" s="67" t="s">
        <v>674</v>
      </c>
      <c r="B77" s="49" t="s">
        <v>361</v>
      </c>
      <c r="C77" s="49" t="s">
        <v>362</v>
      </c>
      <c r="D77" s="57">
        <v>655</v>
      </c>
      <c r="E77" s="74" t="str">
        <f t="shared" si="1"/>
        <v>A</v>
      </c>
    </row>
    <row r="78" spans="1:5" x14ac:dyDescent="0.2">
      <c r="A78" s="67" t="s">
        <v>675</v>
      </c>
      <c r="B78" s="49" t="s">
        <v>546</v>
      </c>
      <c r="C78" s="49" t="s">
        <v>547</v>
      </c>
      <c r="D78" s="57">
        <v>1095</v>
      </c>
      <c r="E78" s="74" t="str">
        <f t="shared" si="1"/>
        <v>B</v>
      </c>
    </row>
    <row r="79" spans="1:5" x14ac:dyDescent="0.2">
      <c r="A79" s="67" t="s">
        <v>676</v>
      </c>
      <c r="B79" s="49" t="s">
        <v>363</v>
      </c>
      <c r="C79" s="49" t="s">
        <v>364</v>
      </c>
      <c r="D79" s="57">
        <v>1315</v>
      </c>
      <c r="E79" s="74" t="str">
        <f t="shared" si="1"/>
        <v>B</v>
      </c>
    </row>
    <row r="80" spans="1:5" x14ac:dyDescent="0.2">
      <c r="A80" s="67" t="s">
        <v>677</v>
      </c>
      <c r="B80" s="49" t="s">
        <v>365</v>
      </c>
      <c r="C80" s="49" t="s">
        <v>366</v>
      </c>
      <c r="D80" s="57">
        <v>1315</v>
      </c>
      <c r="E80" s="74" t="str">
        <f t="shared" si="1"/>
        <v>B</v>
      </c>
    </row>
    <row r="81" spans="1:7" x14ac:dyDescent="0.2">
      <c r="A81" s="67" t="s">
        <v>678</v>
      </c>
      <c r="B81" s="49" t="s">
        <v>1851</v>
      </c>
      <c r="C81" s="49" t="s">
        <v>550</v>
      </c>
      <c r="D81" s="57">
        <v>5495</v>
      </c>
      <c r="E81" s="74" t="str">
        <f t="shared" si="1"/>
        <v>B</v>
      </c>
    </row>
    <row r="82" spans="1:7" x14ac:dyDescent="0.2">
      <c r="A82" s="67" t="s">
        <v>679</v>
      </c>
      <c r="B82" s="49" t="s">
        <v>1852</v>
      </c>
      <c r="C82" s="49" t="s">
        <v>551</v>
      </c>
      <c r="D82" s="57">
        <v>5495</v>
      </c>
      <c r="E82" s="74" t="str">
        <f t="shared" si="1"/>
        <v>B</v>
      </c>
    </row>
    <row r="83" spans="1:7" x14ac:dyDescent="0.2">
      <c r="A83" s="67" t="s">
        <v>680</v>
      </c>
      <c r="B83" s="49" t="s">
        <v>1853</v>
      </c>
      <c r="C83" s="49" t="s">
        <v>552</v>
      </c>
      <c r="D83" s="57">
        <v>5495</v>
      </c>
      <c r="E83" s="74" t="str">
        <f t="shared" si="1"/>
        <v>B</v>
      </c>
    </row>
    <row r="84" spans="1:7" x14ac:dyDescent="0.2">
      <c r="A84" s="67" t="s">
        <v>681</v>
      </c>
      <c r="B84" s="49" t="s">
        <v>1854</v>
      </c>
      <c r="C84" s="49" t="s">
        <v>553</v>
      </c>
      <c r="D84" s="57">
        <v>5495</v>
      </c>
      <c r="E84" s="74" t="str">
        <f t="shared" si="1"/>
        <v>B</v>
      </c>
    </row>
    <row r="85" spans="1:7" x14ac:dyDescent="0.2">
      <c r="A85" s="67" t="s">
        <v>682</v>
      </c>
      <c r="B85" s="49" t="s">
        <v>1855</v>
      </c>
      <c r="C85" s="49" t="s">
        <v>554</v>
      </c>
      <c r="D85" s="57">
        <v>5495</v>
      </c>
      <c r="E85" s="74" t="str">
        <f t="shared" si="1"/>
        <v>B</v>
      </c>
    </row>
    <row r="86" spans="1:7" x14ac:dyDescent="0.2">
      <c r="A86" s="67" t="s">
        <v>683</v>
      </c>
      <c r="B86" s="49" t="s">
        <v>1856</v>
      </c>
      <c r="C86" s="49" t="s">
        <v>555</v>
      </c>
      <c r="D86" s="57">
        <v>5495</v>
      </c>
      <c r="E86" s="74" t="str">
        <f t="shared" si="1"/>
        <v>B</v>
      </c>
    </row>
    <row r="87" spans="1:7" x14ac:dyDescent="0.2">
      <c r="A87" s="67" t="s">
        <v>684</v>
      </c>
      <c r="B87" s="49" t="s">
        <v>1857</v>
      </c>
      <c r="C87" s="49" t="s">
        <v>556</v>
      </c>
      <c r="D87" s="57">
        <v>5495</v>
      </c>
      <c r="E87" s="74" t="str">
        <f t="shared" si="1"/>
        <v>B</v>
      </c>
    </row>
    <row r="88" spans="1:7" x14ac:dyDescent="0.2">
      <c r="A88" s="67" t="s">
        <v>685</v>
      </c>
      <c r="B88" s="49" t="s">
        <v>1858</v>
      </c>
      <c r="C88" s="49" t="s">
        <v>557</v>
      </c>
      <c r="D88" s="57">
        <v>5495</v>
      </c>
      <c r="E88" s="74" t="str">
        <f t="shared" si="1"/>
        <v>B</v>
      </c>
      <c r="G88" s="59"/>
    </row>
    <row r="89" spans="1:7" x14ac:dyDescent="0.2">
      <c r="A89" s="67" t="s">
        <v>686</v>
      </c>
      <c r="B89" s="49" t="s">
        <v>548</v>
      </c>
      <c r="C89" s="49" t="s">
        <v>549</v>
      </c>
      <c r="D89" s="57">
        <v>4395</v>
      </c>
      <c r="E89" s="74" t="str">
        <f t="shared" si="1"/>
        <v>B</v>
      </c>
      <c r="G89" s="59"/>
    </row>
    <row r="90" spans="1:7" x14ac:dyDescent="0.2">
      <c r="A90" s="67" t="s">
        <v>687</v>
      </c>
      <c r="B90" s="49" t="s">
        <v>588</v>
      </c>
      <c r="C90" s="49" t="s">
        <v>589</v>
      </c>
      <c r="D90" s="57">
        <v>5495</v>
      </c>
      <c r="E90" s="74" t="str">
        <f t="shared" si="1"/>
        <v>B</v>
      </c>
      <c r="G90" s="59"/>
    </row>
    <row r="91" spans="1:7" x14ac:dyDescent="0.2">
      <c r="A91" s="68" t="s">
        <v>688</v>
      </c>
      <c r="B91" s="39" t="s">
        <v>367</v>
      </c>
      <c r="C91" s="39" t="s">
        <v>368</v>
      </c>
      <c r="D91" s="57">
        <v>1095</v>
      </c>
      <c r="E91" s="74" t="str">
        <f t="shared" si="1"/>
        <v>B</v>
      </c>
      <c r="G91" s="59"/>
    </row>
    <row r="92" spans="1:7" x14ac:dyDescent="0.2">
      <c r="A92" s="67" t="s">
        <v>689</v>
      </c>
      <c r="B92" s="49" t="s">
        <v>529</v>
      </c>
      <c r="C92" s="49" t="s">
        <v>530</v>
      </c>
      <c r="D92" s="57">
        <v>1370</v>
      </c>
      <c r="E92" s="74" t="str">
        <f t="shared" si="1"/>
        <v>B</v>
      </c>
      <c r="G92" s="59"/>
    </row>
    <row r="93" spans="1:7" x14ac:dyDescent="0.2">
      <c r="A93" s="67" t="s">
        <v>690</v>
      </c>
      <c r="B93" s="49" t="s">
        <v>531</v>
      </c>
      <c r="C93" s="49" t="s">
        <v>532</v>
      </c>
      <c r="D93" s="57">
        <v>2745</v>
      </c>
      <c r="E93" s="74" t="str">
        <f t="shared" si="1"/>
        <v>B</v>
      </c>
      <c r="G93" s="59"/>
    </row>
    <row r="94" spans="1:7" x14ac:dyDescent="0.2">
      <c r="A94" s="68" t="s">
        <v>691</v>
      </c>
      <c r="B94" s="39" t="s">
        <v>502</v>
      </c>
      <c r="C94" s="39" t="s">
        <v>503</v>
      </c>
      <c r="D94" s="38">
        <v>2745</v>
      </c>
      <c r="E94" s="74" t="str">
        <f t="shared" si="1"/>
        <v>B</v>
      </c>
      <c r="G94" s="59"/>
    </row>
    <row r="95" spans="1:7" x14ac:dyDescent="0.2">
      <c r="A95" s="67" t="s">
        <v>692</v>
      </c>
      <c r="B95" s="49" t="s">
        <v>533</v>
      </c>
      <c r="C95" s="49" t="s">
        <v>534</v>
      </c>
      <c r="D95" s="57">
        <v>10995</v>
      </c>
      <c r="E95" s="74" t="str">
        <f t="shared" si="1"/>
        <v>C</v>
      </c>
      <c r="G95" s="59"/>
    </row>
    <row r="96" spans="1:7" x14ac:dyDescent="0.2">
      <c r="A96" s="67" t="s">
        <v>693</v>
      </c>
      <c r="B96" s="49" t="s">
        <v>369</v>
      </c>
      <c r="C96" s="49" t="s">
        <v>370</v>
      </c>
      <c r="D96" s="57">
        <v>17595</v>
      </c>
      <c r="E96" s="74" t="str">
        <f t="shared" si="1"/>
        <v>C</v>
      </c>
      <c r="G96" s="59"/>
    </row>
    <row r="97" spans="1:7" x14ac:dyDescent="0.2">
      <c r="A97" s="70" t="s">
        <v>694</v>
      </c>
      <c r="B97" s="64" t="s">
        <v>371</v>
      </c>
      <c r="C97" s="66" t="s">
        <v>372</v>
      </c>
      <c r="D97" s="60">
        <v>21995</v>
      </c>
      <c r="E97" s="74" t="str">
        <f t="shared" si="1"/>
        <v>C</v>
      </c>
      <c r="G97" s="59"/>
    </row>
    <row r="98" spans="1:7" x14ac:dyDescent="0.2">
      <c r="A98" s="70" t="s">
        <v>695</v>
      </c>
      <c r="B98" s="64" t="s">
        <v>373</v>
      </c>
      <c r="C98" s="61" t="s">
        <v>374</v>
      </c>
      <c r="D98" s="60">
        <v>21995</v>
      </c>
      <c r="E98" s="74" t="str">
        <f t="shared" si="1"/>
        <v>C</v>
      </c>
      <c r="G98" s="59"/>
    </row>
    <row r="99" spans="1:7" x14ac:dyDescent="0.2">
      <c r="A99" s="70" t="s">
        <v>696</v>
      </c>
      <c r="B99" s="64" t="s">
        <v>375</v>
      </c>
      <c r="C99" s="61" t="s">
        <v>376</v>
      </c>
      <c r="D99" s="60">
        <v>21995</v>
      </c>
      <c r="E99" s="74" t="str">
        <f t="shared" si="1"/>
        <v>C</v>
      </c>
      <c r="G99" s="59"/>
    </row>
    <row r="100" spans="1:7" x14ac:dyDescent="0.2">
      <c r="A100" s="70" t="s">
        <v>697</v>
      </c>
      <c r="B100" s="64" t="s">
        <v>377</v>
      </c>
      <c r="C100" s="61" t="s">
        <v>378</v>
      </c>
      <c r="D100" s="60">
        <v>21995</v>
      </c>
      <c r="E100" s="74" t="str">
        <f t="shared" si="1"/>
        <v>C</v>
      </c>
      <c r="G100" s="59"/>
    </row>
    <row r="101" spans="1:7" x14ac:dyDescent="0.2">
      <c r="A101" s="70" t="s">
        <v>698</v>
      </c>
      <c r="B101" s="64" t="s">
        <v>379</v>
      </c>
      <c r="C101" s="61" t="s">
        <v>380</v>
      </c>
      <c r="D101" s="60">
        <v>21995</v>
      </c>
      <c r="E101" s="74" t="str">
        <f t="shared" si="1"/>
        <v>C</v>
      </c>
      <c r="G101" s="59"/>
    </row>
    <row r="102" spans="1:7" x14ac:dyDescent="0.2">
      <c r="A102" s="70" t="s">
        <v>699</v>
      </c>
      <c r="B102" s="64" t="s">
        <v>381</v>
      </c>
      <c r="C102" s="61" t="s">
        <v>382</v>
      </c>
      <c r="D102" s="60">
        <v>21995</v>
      </c>
      <c r="E102" s="74" t="str">
        <f t="shared" si="1"/>
        <v>C</v>
      </c>
      <c r="G102" s="59"/>
    </row>
    <row r="103" spans="1:7" x14ac:dyDescent="0.2">
      <c r="A103" s="70" t="s">
        <v>700</v>
      </c>
      <c r="B103" s="64" t="s">
        <v>383</v>
      </c>
      <c r="C103" s="61" t="s">
        <v>384</v>
      </c>
      <c r="D103" s="60">
        <v>21995</v>
      </c>
      <c r="E103" s="74" t="str">
        <f t="shared" si="1"/>
        <v>C</v>
      </c>
      <c r="G103" s="59"/>
    </row>
    <row r="104" spans="1:7" x14ac:dyDescent="0.2">
      <c r="A104" s="70" t="s">
        <v>701</v>
      </c>
      <c r="B104" s="64" t="s">
        <v>385</v>
      </c>
      <c r="C104" s="61" t="s">
        <v>386</v>
      </c>
      <c r="D104" s="60">
        <v>21995</v>
      </c>
      <c r="E104" s="74" t="str">
        <f t="shared" si="1"/>
        <v>C</v>
      </c>
      <c r="G104" s="59"/>
    </row>
    <row r="105" spans="1:7" x14ac:dyDescent="0.2">
      <c r="A105" s="70" t="s">
        <v>702</v>
      </c>
      <c r="B105" s="64" t="s">
        <v>387</v>
      </c>
      <c r="C105" s="61" t="s">
        <v>388</v>
      </c>
      <c r="D105" s="60">
        <v>21995</v>
      </c>
      <c r="E105" s="74" t="str">
        <f t="shared" si="1"/>
        <v>C</v>
      </c>
      <c r="G105" s="59"/>
    </row>
    <row r="106" spans="1:7" x14ac:dyDescent="0.2">
      <c r="A106" s="70" t="s">
        <v>703</v>
      </c>
      <c r="B106" s="64" t="s">
        <v>389</v>
      </c>
      <c r="C106" s="61" t="s">
        <v>390</v>
      </c>
      <c r="D106" s="60">
        <v>21995</v>
      </c>
      <c r="E106" s="74" t="str">
        <f t="shared" si="1"/>
        <v>C</v>
      </c>
      <c r="G106" s="59"/>
    </row>
    <row r="107" spans="1:7" x14ac:dyDescent="0.2">
      <c r="A107" s="70" t="s">
        <v>704</v>
      </c>
      <c r="B107" s="64" t="s">
        <v>391</v>
      </c>
      <c r="C107" s="61" t="s">
        <v>392</v>
      </c>
      <c r="D107" s="60">
        <v>21995</v>
      </c>
      <c r="E107" s="74" t="str">
        <f t="shared" si="1"/>
        <v>C</v>
      </c>
      <c r="G107" s="59"/>
    </row>
    <row r="108" spans="1:7" x14ac:dyDescent="0.2">
      <c r="A108" s="70" t="s">
        <v>705</v>
      </c>
      <c r="B108" s="64" t="s">
        <v>393</v>
      </c>
      <c r="C108" s="61" t="s">
        <v>394</v>
      </c>
      <c r="D108" s="60">
        <v>21995</v>
      </c>
      <c r="E108" s="74" t="str">
        <f t="shared" si="1"/>
        <v>C</v>
      </c>
      <c r="G108" s="59"/>
    </row>
    <row r="109" spans="1:7" x14ac:dyDescent="0.2">
      <c r="A109" s="70" t="s">
        <v>706</v>
      </c>
      <c r="B109" s="64" t="s">
        <v>395</v>
      </c>
      <c r="C109" s="61" t="s">
        <v>396</v>
      </c>
      <c r="D109" s="60">
        <v>21995</v>
      </c>
      <c r="E109" s="74" t="str">
        <f t="shared" si="1"/>
        <v>C</v>
      </c>
      <c r="G109" s="59"/>
    </row>
    <row r="110" spans="1:7" x14ac:dyDescent="0.2">
      <c r="A110" s="70" t="s">
        <v>707</v>
      </c>
      <c r="B110" s="64" t="s">
        <v>397</v>
      </c>
      <c r="C110" s="61" t="s">
        <v>398</v>
      </c>
      <c r="D110" s="60">
        <v>21995</v>
      </c>
      <c r="E110" s="74" t="str">
        <f t="shared" si="1"/>
        <v>C</v>
      </c>
      <c r="G110" s="59"/>
    </row>
    <row r="111" spans="1:7" x14ac:dyDescent="0.2">
      <c r="A111" s="70" t="s">
        <v>708</v>
      </c>
      <c r="B111" s="64" t="s">
        <v>399</v>
      </c>
      <c r="C111" s="61" t="s">
        <v>400</v>
      </c>
      <c r="D111" s="60">
        <v>21995</v>
      </c>
      <c r="E111" s="74" t="str">
        <f t="shared" si="1"/>
        <v>C</v>
      </c>
      <c r="G111" s="59"/>
    </row>
    <row r="112" spans="1:7" x14ac:dyDescent="0.2">
      <c r="A112" s="70" t="s">
        <v>709</v>
      </c>
      <c r="B112" s="64" t="s">
        <v>401</v>
      </c>
      <c r="C112" s="61" t="s">
        <v>402</v>
      </c>
      <c r="D112" s="60">
        <v>21995</v>
      </c>
      <c r="E112" s="74" t="str">
        <f t="shared" si="1"/>
        <v>C</v>
      </c>
      <c r="G112" s="59"/>
    </row>
    <row r="113" spans="1:7" x14ac:dyDescent="0.2">
      <c r="A113" s="70" t="s">
        <v>710</v>
      </c>
      <c r="B113" s="64" t="s">
        <v>403</v>
      </c>
      <c r="C113" s="61" t="s">
        <v>404</v>
      </c>
      <c r="D113" s="60">
        <v>21995</v>
      </c>
      <c r="E113" s="74" t="str">
        <f t="shared" si="1"/>
        <v>C</v>
      </c>
      <c r="G113" s="59"/>
    </row>
    <row r="114" spans="1:7" x14ac:dyDescent="0.2">
      <c r="A114" s="70" t="s">
        <v>711</v>
      </c>
      <c r="B114" s="64" t="s">
        <v>405</v>
      </c>
      <c r="C114" s="61" t="s">
        <v>406</v>
      </c>
      <c r="D114" s="60">
        <v>21995</v>
      </c>
      <c r="E114" s="74" t="str">
        <f t="shared" si="1"/>
        <v>C</v>
      </c>
      <c r="G114" s="59"/>
    </row>
    <row r="115" spans="1:7" x14ac:dyDescent="0.2">
      <c r="A115" s="70" t="s">
        <v>712</v>
      </c>
      <c r="B115" s="64" t="s">
        <v>407</v>
      </c>
      <c r="C115" s="61" t="s">
        <v>408</v>
      </c>
      <c r="D115" s="60">
        <v>21995</v>
      </c>
      <c r="E115" s="74" t="str">
        <f t="shared" si="1"/>
        <v>C</v>
      </c>
      <c r="G115" s="59"/>
    </row>
    <row r="116" spans="1:7" x14ac:dyDescent="0.2">
      <c r="A116" s="70" t="s">
        <v>713</v>
      </c>
      <c r="B116" s="64" t="s">
        <v>409</v>
      </c>
      <c r="C116" s="61" t="s">
        <v>410</v>
      </c>
      <c r="D116" s="60">
        <v>21995</v>
      </c>
      <c r="E116" s="74" t="str">
        <f t="shared" si="1"/>
        <v>C</v>
      </c>
      <c r="G116" s="59"/>
    </row>
    <row r="117" spans="1:7" x14ac:dyDescent="0.2">
      <c r="A117" s="70" t="s">
        <v>714</v>
      </c>
      <c r="B117" s="64" t="s">
        <v>411</v>
      </c>
      <c r="C117" s="61" t="s">
        <v>412</v>
      </c>
      <c r="D117" s="60">
        <v>21995</v>
      </c>
      <c r="E117" s="74" t="str">
        <f t="shared" si="1"/>
        <v>C</v>
      </c>
      <c r="G117" s="59"/>
    </row>
    <row r="118" spans="1:7" x14ac:dyDescent="0.2">
      <c r="A118" s="70" t="s">
        <v>715</v>
      </c>
      <c r="B118" s="64" t="s">
        <v>413</v>
      </c>
      <c r="C118" s="61" t="s">
        <v>414</v>
      </c>
      <c r="D118" s="60">
        <v>21995</v>
      </c>
      <c r="E118" s="74" t="str">
        <f t="shared" si="1"/>
        <v>C</v>
      </c>
      <c r="G118" s="59"/>
    </row>
    <row r="119" spans="1:7" x14ac:dyDescent="0.2">
      <c r="A119" s="70" t="s">
        <v>716</v>
      </c>
      <c r="B119" s="64" t="s">
        <v>415</v>
      </c>
      <c r="C119" s="61" t="s">
        <v>416</v>
      </c>
      <c r="D119" s="60">
        <v>21995</v>
      </c>
      <c r="E119" s="74" t="str">
        <f t="shared" si="1"/>
        <v>C</v>
      </c>
      <c r="G119" s="59"/>
    </row>
    <row r="120" spans="1:7" x14ac:dyDescent="0.2">
      <c r="A120" s="70" t="s">
        <v>717</v>
      </c>
      <c r="B120" s="64" t="s">
        <v>417</v>
      </c>
      <c r="C120" s="61" t="s">
        <v>418</v>
      </c>
      <c r="D120" s="60">
        <v>21995</v>
      </c>
      <c r="E120" s="74" t="str">
        <f t="shared" si="1"/>
        <v>C</v>
      </c>
      <c r="G120" s="59"/>
    </row>
    <row r="121" spans="1:7" x14ac:dyDescent="0.2">
      <c r="A121" s="70" t="s">
        <v>718</v>
      </c>
      <c r="B121" s="64" t="s">
        <v>419</v>
      </c>
      <c r="C121" s="61" t="s">
        <v>420</v>
      </c>
      <c r="D121" s="60">
        <v>21995</v>
      </c>
      <c r="E121" s="74" t="str">
        <f t="shared" si="1"/>
        <v>C</v>
      </c>
      <c r="G121" s="59"/>
    </row>
    <row r="122" spans="1:7" x14ac:dyDescent="0.2">
      <c r="A122" s="70" t="s">
        <v>719</v>
      </c>
      <c r="B122" s="64" t="s">
        <v>421</v>
      </c>
      <c r="C122" s="61" t="s">
        <v>422</v>
      </c>
      <c r="D122" s="60">
        <v>21995</v>
      </c>
      <c r="E122" s="74" t="str">
        <f t="shared" si="1"/>
        <v>C</v>
      </c>
      <c r="G122" s="59"/>
    </row>
    <row r="123" spans="1:7" x14ac:dyDescent="0.2">
      <c r="A123" s="70" t="s">
        <v>720</v>
      </c>
      <c r="B123" s="64" t="s">
        <v>423</v>
      </c>
      <c r="C123" s="61" t="s">
        <v>424</v>
      </c>
      <c r="D123" s="60">
        <v>21995</v>
      </c>
      <c r="E123" s="74" t="str">
        <f t="shared" si="1"/>
        <v>C</v>
      </c>
      <c r="G123" s="59"/>
    </row>
    <row r="124" spans="1:7" x14ac:dyDescent="0.2">
      <c r="A124" s="70" t="s">
        <v>721</v>
      </c>
      <c r="B124" s="64" t="s">
        <v>425</v>
      </c>
      <c r="C124" s="61" t="s">
        <v>426</v>
      </c>
      <c r="D124" s="60">
        <v>21995</v>
      </c>
      <c r="E124" s="74" t="str">
        <f t="shared" si="1"/>
        <v>C</v>
      </c>
      <c r="G124" s="59"/>
    </row>
    <row r="125" spans="1:7" x14ac:dyDescent="0.2">
      <c r="A125" s="70" t="s">
        <v>722</v>
      </c>
      <c r="B125" s="64" t="s">
        <v>427</v>
      </c>
      <c r="C125" s="61" t="s">
        <v>428</v>
      </c>
      <c r="D125" s="60">
        <v>21995</v>
      </c>
      <c r="E125" s="74" t="str">
        <f t="shared" si="1"/>
        <v>C</v>
      </c>
      <c r="G125" s="59"/>
    </row>
    <row r="126" spans="1:7" x14ac:dyDescent="0.2">
      <c r="A126" s="70" t="s">
        <v>723</v>
      </c>
      <c r="B126" s="64" t="s">
        <v>429</v>
      </c>
      <c r="C126" s="61" t="s">
        <v>430</v>
      </c>
      <c r="D126" s="60">
        <v>21995</v>
      </c>
      <c r="E126" s="74" t="str">
        <f t="shared" si="1"/>
        <v>C</v>
      </c>
      <c r="G126" s="59"/>
    </row>
    <row r="127" spans="1:7" x14ac:dyDescent="0.2">
      <c r="A127" s="70" t="s">
        <v>724</v>
      </c>
      <c r="B127" s="64" t="s">
        <v>431</v>
      </c>
      <c r="C127" s="61" t="s">
        <v>432</v>
      </c>
      <c r="D127" s="60">
        <v>21995</v>
      </c>
      <c r="E127" s="74" t="str">
        <f t="shared" si="1"/>
        <v>C</v>
      </c>
      <c r="G127" s="59"/>
    </row>
    <row r="128" spans="1:7" x14ac:dyDescent="0.2">
      <c r="A128" s="70" t="s">
        <v>725</v>
      </c>
      <c r="B128" s="64" t="s">
        <v>433</v>
      </c>
      <c r="C128" s="61" t="s">
        <v>434</v>
      </c>
      <c r="D128" s="60">
        <v>21995</v>
      </c>
      <c r="E128" s="74" t="str">
        <f t="shared" si="1"/>
        <v>C</v>
      </c>
      <c r="G128" s="59"/>
    </row>
    <row r="129" spans="1:7" x14ac:dyDescent="0.2">
      <c r="A129" s="70" t="s">
        <v>726</v>
      </c>
      <c r="B129" s="64" t="s">
        <v>435</v>
      </c>
      <c r="C129" s="61" t="s">
        <v>436</v>
      </c>
      <c r="D129" s="60">
        <v>21995</v>
      </c>
      <c r="E129" s="74" t="str">
        <f t="shared" si="1"/>
        <v>C</v>
      </c>
      <c r="G129" s="59"/>
    </row>
    <row r="130" spans="1:7" x14ac:dyDescent="0.2">
      <c r="A130" s="70" t="s">
        <v>727</v>
      </c>
      <c r="B130" s="64" t="s">
        <v>437</v>
      </c>
      <c r="C130" s="61" t="s">
        <v>438</v>
      </c>
      <c r="D130" s="60">
        <v>21995</v>
      </c>
      <c r="E130" s="74" t="str">
        <f t="shared" si="1"/>
        <v>C</v>
      </c>
      <c r="G130" s="59"/>
    </row>
    <row r="131" spans="1:7" x14ac:dyDescent="0.2">
      <c r="A131" s="70" t="s">
        <v>728</v>
      </c>
      <c r="B131" s="64" t="s">
        <v>439</v>
      </c>
      <c r="C131" s="61" t="s">
        <v>440</v>
      </c>
      <c r="D131" s="60">
        <v>21995</v>
      </c>
      <c r="E131" s="74" t="str">
        <f t="shared" si="1"/>
        <v>C</v>
      </c>
      <c r="G131" s="59"/>
    </row>
    <row r="132" spans="1:7" x14ac:dyDescent="0.2">
      <c r="A132" s="70" t="s">
        <v>729</v>
      </c>
      <c r="B132" s="64" t="s">
        <v>441</v>
      </c>
      <c r="C132" s="61" t="s">
        <v>442</v>
      </c>
      <c r="D132" s="60">
        <v>21995</v>
      </c>
      <c r="E132" s="74" t="str">
        <f t="shared" si="1"/>
        <v>C</v>
      </c>
      <c r="G132" s="59"/>
    </row>
    <row r="133" spans="1:7" x14ac:dyDescent="0.2">
      <c r="A133" s="70" t="s">
        <v>730</v>
      </c>
      <c r="B133" s="64" t="s">
        <v>443</v>
      </c>
      <c r="C133" s="61" t="s">
        <v>444</v>
      </c>
      <c r="D133" s="60">
        <v>21995</v>
      </c>
      <c r="E133" s="74" t="str">
        <f t="shared" ref="E133:E196" si="2">VLOOKUP(D133,$G$4:$H$7,2)</f>
        <v>C</v>
      </c>
      <c r="G133" s="59"/>
    </row>
    <row r="134" spans="1:7" x14ac:dyDescent="0.2">
      <c r="A134" s="70" t="s">
        <v>731</v>
      </c>
      <c r="B134" s="64" t="s">
        <v>445</v>
      </c>
      <c r="C134" s="61" t="s">
        <v>446</v>
      </c>
      <c r="D134" s="60">
        <v>21995</v>
      </c>
      <c r="E134" s="74" t="str">
        <f t="shared" si="2"/>
        <v>C</v>
      </c>
      <c r="G134" s="59"/>
    </row>
    <row r="135" spans="1:7" x14ac:dyDescent="0.2">
      <c r="A135" s="70" t="s">
        <v>732</v>
      </c>
      <c r="B135" s="64" t="s">
        <v>447</v>
      </c>
      <c r="C135" s="61" t="s">
        <v>448</v>
      </c>
      <c r="D135" s="60">
        <v>21995</v>
      </c>
      <c r="E135" s="74" t="str">
        <f t="shared" si="2"/>
        <v>C</v>
      </c>
      <c r="G135" s="59"/>
    </row>
    <row r="136" spans="1:7" x14ac:dyDescent="0.2">
      <c r="A136" s="70" t="s">
        <v>733</v>
      </c>
      <c r="B136" s="64" t="s">
        <v>449</v>
      </c>
      <c r="C136" s="61" t="s">
        <v>450</v>
      </c>
      <c r="D136" s="60">
        <v>21995</v>
      </c>
      <c r="E136" s="74" t="str">
        <f t="shared" si="2"/>
        <v>C</v>
      </c>
      <c r="G136" s="59"/>
    </row>
    <row r="137" spans="1:7" x14ac:dyDescent="0.2">
      <c r="A137" s="68" t="s">
        <v>734</v>
      </c>
      <c r="B137" s="39" t="s">
        <v>504</v>
      </c>
      <c r="C137" s="39" t="s">
        <v>504</v>
      </c>
      <c r="D137" s="38">
        <v>75</v>
      </c>
      <c r="E137" s="74" t="str">
        <f t="shared" si="2"/>
        <v>A</v>
      </c>
      <c r="G137" s="59"/>
    </row>
    <row r="138" spans="1:7" x14ac:dyDescent="0.2">
      <c r="A138" s="70" t="s">
        <v>735</v>
      </c>
      <c r="B138" s="61" t="s">
        <v>2233</v>
      </c>
      <c r="C138" s="62" t="s">
        <v>1967</v>
      </c>
      <c r="D138" s="57">
        <v>4395</v>
      </c>
      <c r="E138" s="74" t="str">
        <f t="shared" si="2"/>
        <v>B</v>
      </c>
      <c r="G138" s="59"/>
    </row>
    <row r="139" spans="1:7" x14ac:dyDescent="0.2">
      <c r="A139" s="70" t="s">
        <v>736</v>
      </c>
      <c r="B139" s="61" t="s">
        <v>2234</v>
      </c>
      <c r="C139" s="62" t="s">
        <v>1968</v>
      </c>
      <c r="D139" s="57">
        <v>4725</v>
      </c>
      <c r="E139" s="74" t="str">
        <f t="shared" si="2"/>
        <v>B</v>
      </c>
      <c r="G139" s="59"/>
    </row>
    <row r="140" spans="1:7" x14ac:dyDescent="0.2">
      <c r="A140" s="70" t="s">
        <v>737</v>
      </c>
      <c r="B140" s="61" t="s">
        <v>2235</v>
      </c>
      <c r="C140" s="62" t="s">
        <v>1969</v>
      </c>
      <c r="D140" s="57">
        <v>4945</v>
      </c>
      <c r="E140" s="74" t="str">
        <f t="shared" si="2"/>
        <v>B</v>
      </c>
      <c r="G140" s="59"/>
    </row>
    <row r="141" spans="1:7" x14ac:dyDescent="0.2">
      <c r="A141" s="70" t="s">
        <v>738</v>
      </c>
      <c r="B141" s="61" t="s">
        <v>2236</v>
      </c>
      <c r="C141" s="62" t="s">
        <v>1970</v>
      </c>
      <c r="D141" s="57">
        <v>5275</v>
      </c>
      <c r="E141" s="74" t="str">
        <f t="shared" si="2"/>
        <v>B</v>
      </c>
      <c r="G141" s="59"/>
    </row>
    <row r="142" spans="1:7" x14ac:dyDescent="0.2">
      <c r="A142" s="68" t="s">
        <v>739</v>
      </c>
      <c r="B142" s="39" t="s">
        <v>2237</v>
      </c>
      <c r="C142" s="39" t="s">
        <v>596</v>
      </c>
      <c r="D142" s="38">
        <v>6045</v>
      </c>
      <c r="E142" s="74" t="str">
        <f t="shared" si="2"/>
        <v>B</v>
      </c>
      <c r="G142" s="59"/>
    </row>
    <row r="143" spans="1:7" x14ac:dyDescent="0.2">
      <c r="A143" s="68" t="s">
        <v>740</v>
      </c>
      <c r="B143" s="39" t="s">
        <v>2238</v>
      </c>
      <c r="C143" s="39" t="s">
        <v>597</v>
      </c>
      <c r="D143" s="38">
        <v>6595</v>
      </c>
      <c r="E143" s="74" t="str">
        <f t="shared" si="2"/>
        <v>B</v>
      </c>
      <c r="G143" s="59"/>
    </row>
    <row r="144" spans="1:7" x14ac:dyDescent="0.2">
      <c r="A144" s="70" t="s">
        <v>741</v>
      </c>
      <c r="B144" s="61" t="s">
        <v>2239</v>
      </c>
      <c r="C144" s="62" t="s">
        <v>1971</v>
      </c>
      <c r="D144" s="57">
        <v>6595</v>
      </c>
      <c r="E144" s="74" t="str">
        <f t="shared" si="2"/>
        <v>B</v>
      </c>
      <c r="G144" s="59"/>
    </row>
    <row r="145" spans="1:7" x14ac:dyDescent="0.2">
      <c r="A145" s="70" t="s">
        <v>742</v>
      </c>
      <c r="B145" s="61" t="s">
        <v>2240</v>
      </c>
      <c r="C145" s="62" t="s">
        <v>1972</v>
      </c>
      <c r="D145" s="57">
        <v>6925</v>
      </c>
      <c r="E145" s="74" t="str">
        <f t="shared" si="2"/>
        <v>B</v>
      </c>
      <c r="G145" s="59"/>
    </row>
    <row r="146" spans="1:7" x14ac:dyDescent="0.2">
      <c r="A146" s="70" t="s">
        <v>743</v>
      </c>
      <c r="B146" s="61" t="s">
        <v>2241</v>
      </c>
      <c r="C146" s="62" t="s">
        <v>1973</v>
      </c>
      <c r="D146" s="57">
        <v>7695</v>
      </c>
      <c r="E146" s="74" t="str">
        <f t="shared" si="2"/>
        <v>B</v>
      </c>
      <c r="G146" s="59"/>
    </row>
    <row r="147" spans="1:7" x14ac:dyDescent="0.2">
      <c r="A147" s="70" t="s">
        <v>744</v>
      </c>
      <c r="B147" s="61" t="s">
        <v>2242</v>
      </c>
      <c r="C147" s="62" t="s">
        <v>1974</v>
      </c>
      <c r="D147" s="57">
        <v>8025</v>
      </c>
      <c r="E147" s="74" t="str">
        <f t="shared" si="2"/>
        <v>B</v>
      </c>
      <c r="G147" s="59"/>
    </row>
    <row r="148" spans="1:7" x14ac:dyDescent="0.2">
      <c r="A148" s="70" t="s">
        <v>745</v>
      </c>
      <c r="B148" s="61" t="s">
        <v>454</v>
      </c>
      <c r="C148" s="62" t="s">
        <v>455</v>
      </c>
      <c r="D148" s="57">
        <v>550</v>
      </c>
      <c r="E148" s="74" t="str">
        <f t="shared" si="2"/>
        <v>A</v>
      </c>
      <c r="G148" s="59"/>
    </row>
    <row r="149" spans="1:7" x14ac:dyDescent="0.2">
      <c r="A149" s="70" t="s">
        <v>746</v>
      </c>
      <c r="B149" s="61" t="s">
        <v>2243</v>
      </c>
      <c r="C149" s="62" t="s">
        <v>451</v>
      </c>
      <c r="D149" s="57">
        <v>2745</v>
      </c>
      <c r="E149" s="74" t="str">
        <f t="shared" si="2"/>
        <v>B</v>
      </c>
      <c r="G149" s="59"/>
    </row>
    <row r="150" spans="1:7" x14ac:dyDescent="0.2">
      <c r="A150" s="68" t="s">
        <v>747</v>
      </c>
      <c r="B150" s="39" t="s">
        <v>2244</v>
      </c>
      <c r="C150" s="39" t="s">
        <v>2245</v>
      </c>
      <c r="D150" s="38">
        <v>1645</v>
      </c>
      <c r="E150" s="74" t="str">
        <f t="shared" si="2"/>
        <v>B</v>
      </c>
      <c r="G150" s="59"/>
    </row>
    <row r="151" spans="1:7" x14ac:dyDescent="0.2">
      <c r="A151" s="68" t="s">
        <v>748</v>
      </c>
      <c r="B151" s="39" t="s">
        <v>2246</v>
      </c>
      <c r="C151" s="39" t="s">
        <v>2247</v>
      </c>
      <c r="D151" s="38">
        <v>2195</v>
      </c>
      <c r="E151" s="74" t="str">
        <f t="shared" si="2"/>
        <v>B</v>
      </c>
      <c r="G151" s="59"/>
    </row>
    <row r="152" spans="1:7" x14ac:dyDescent="0.2">
      <c r="A152" s="70" t="s">
        <v>749</v>
      </c>
      <c r="B152" s="61" t="s">
        <v>505</v>
      </c>
      <c r="C152" s="62" t="s">
        <v>456</v>
      </c>
      <c r="D152" s="57">
        <v>1645</v>
      </c>
      <c r="E152" s="74" t="str">
        <f t="shared" si="2"/>
        <v>B</v>
      </c>
      <c r="G152" s="59"/>
    </row>
    <row r="153" spans="1:7" x14ac:dyDescent="0.2">
      <c r="A153" s="70" t="s">
        <v>750</v>
      </c>
      <c r="B153" s="61" t="s">
        <v>457</v>
      </c>
      <c r="C153" s="62" t="s">
        <v>458</v>
      </c>
      <c r="D153" s="57">
        <v>1975</v>
      </c>
      <c r="E153" s="74" t="str">
        <f t="shared" si="2"/>
        <v>B</v>
      </c>
      <c r="G153" s="59"/>
    </row>
    <row r="154" spans="1:7" x14ac:dyDescent="0.2">
      <c r="A154" s="69" t="s">
        <v>751</v>
      </c>
      <c r="B154" s="63" t="s">
        <v>2229</v>
      </c>
      <c r="C154" s="63" t="s">
        <v>2229</v>
      </c>
      <c r="D154" s="38">
        <v>55</v>
      </c>
      <c r="E154" s="74" t="str">
        <f t="shared" si="2"/>
        <v>A</v>
      </c>
      <c r="G154" s="59"/>
    </row>
    <row r="155" spans="1:7" x14ac:dyDescent="0.2">
      <c r="A155" s="68" t="s">
        <v>752</v>
      </c>
      <c r="B155" s="39" t="s">
        <v>2248</v>
      </c>
      <c r="C155" s="39" t="s">
        <v>1975</v>
      </c>
      <c r="D155" s="38">
        <v>0</v>
      </c>
      <c r="E155" s="74" t="str">
        <f t="shared" si="2"/>
        <v>A</v>
      </c>
      <c r="G155" s="59"/>
    </row>
    <row r="156" spans="1:7" x14ac:dyDescent="0.2">
      <c r="A156" s="71" t="s">
        <v>753</v>
      </c>
      <c r="B156" s="63" t="s">
        <v>452</v>
      </c>
      <c r="C156" s="63" t="s">
        <v>453</v>
      </c>
      <c r="D156" s="57">
        <v>205</v>
      </c>
      <c r="E156" s="74" t="str">
        <f t="shared" si="2"/>
        <v>A</v>
      </c>
      <c r="G156" s="59"/>
    </row>
    <row r="157" spans="1:7" x14ac:dyDescent="0.2">
      <c r="A157" s="67" t="s">
        <v>754</v>
      </c>
      <c r="B157" s="49" t="s">
        <v>351</v>
      </c>
      <c r="C157" s="49" t="s">
        <v>352</v>
      </c>
      <c r="D157" s="57">
        <v>185</v>
      </c>
      <c r="E157" s="74" t="str">
        <f t="shared" si="2"/>
        <v>A</v>
      </c>
      <c r="G157" s="59"/>
    </row>
    <row r="158" spans="1:7" x14ac:dyDescent="0.2">
      <c r="A158" s="68" t="s">
        <v>755</v>
      </c>
      <c r="B158" s="39" t="s">
        <v>500</v>
      </c>
      <c r="C158" s="39" t="s">
        <v>353</v>
      </c>
      <c r="D158" s="38">
        <v>325</v>
      </c>
      <c r="E158" s="74" t="str">
        <f t="shared" si="2"/>
        <v>A</v>
      </c>
      <c r="G158" s="59"/>
    </row>
    <row r="159" spans="1:7" x14ac:dyDescent="0.2">
      <c r="A159" s="68" t="s">
        <v>756</v>
      </c>
      <c r="B159" s="39" t="s">
        <v>501</v>
      </c>
      <c r="C159" s="39" t="s">
        <v>354</v>
      </c>
      <c r="D159" s="38">
        <v>435</v>
      </c>
      <c r="E159" s="74" t="str">
        <f t="shared" si="2"/>
        <v>A</v>
      </c>
      <c r="G159" s="59"/>
    </row>
    <row r="160" spans="1:7" x14ac:dyDescent="0.2">
      <c r="A160" s="67" t="s">
        <v>757</v>
      </c>
      <c r="B160" s="49" t="s">
        <v>355</v>
      </c>
      <c r="C160" s="49" t="s">
        <v>356</v>
      </c>
      <c r="D160" s="57">
        <v>435</v>
      </c>
      <c r="E160" s="74" t="str">
        <f t="shared" si="2"/>
        <v>A</v>
      </c>
      <c r="G160" s="59"/>
    </row>
    <row r="161" spans="1:7" x14ac:dyDescent="0.2">
      <c r="A161" s="67" t="s">
        <v>758</v>
      </c>
      <c r="B161" s="49" t="s">
        <v>357</v>
      </c>
      <c r="C161" s="49" t="s">
        <v>358</v>
      </c>
      <c r="D161" s="57">
        <v>435</v>
      </c>
      <c r="E161" s="74" t="str">
        <f t="shared" si="2"/>
        <v>A</v>
      </c>
      <c r="G161" s="59"/>
    </row>
    <row r="162" spans="1:7" x14ac:dyDescent="0.2">
      <c r="A162" s="67" t="s">
        <v>759</v>
      </c>
      <c r="B162" s="49" t="s">
        <v>359</v>
      </c>
      <c r="C162" s="49" t="s">
        <v>360</v>
      </c>
      <c r="D162" s="57">
        <v>325</v>
      </c>
      <c r="E162" s="74" t="str">
        <f t="shared" si="2"/>
        <v>A</v>
      </c>
      <c r="G162" s="59"/>
    </row>
    <row r="163" spans="1:7" x14ac:dyDescent="0.2">
      <c r="A163" s="67" t="s">
        <v>760</v>
      </c>
      <c r="B163" s="49" t="s">
        <v>544</v>
      </c>
      <c r="C163" s="49" t="s">
        <v>545</v>
      </c>
      <c r="D163" s="57">
        <v>490</v>
      </c>
      <c r="E163" s="74" t="str">
        <f t="shared" si="2"/>
        <v>A</v>
      </c>
      <c r="G163" s="59"/>
    </row>
    <row r="164" spans="1:7" x14ac:dyDescent="0.2">
      <c r="A164" s="67" t="s">
        <v>761</v>
      </c>
      <c r="B164" s="49" t="s">
        <v>592</v>
      </c>
      <c r="C164" s="49" t="s">
        <v>593</v>
      </c>
      <c r="D164" s="57">
        <v>490</v>
      </c>
      <c r="E164" s="74" t="str">
        <f t="shared" si="2"/>
        <v>A</v>
      </c>
      <c r="G164" s="59"/>
    </row>
    <row r="165" spans="1:7" x14ac:dyDescent="0.2">
      <c r="A165" s="67" t="s">
        <v>762</v>
      </c>
      <c r="B165" s="49" t="s">
        <v>361</v>
      </c>
      <c r="C165" s="49" t="s">
        <v>362</v>
      </c>
      <c r="D165" s="57">
        <v>655</v>
      </c>
      <c r="E165" s="74" t="str">
        <f t="shared" si="2"/>
        <v>A</v>
      </c>
      <c r="G165" s="59"/>
    </row>
    <row r="166" spans="1:7" x14ac:dyDescent="0.2">
      <c r="A166" s="67" t="s">
        <v>763</v>
      </c>
      <c r="B166" s="49" t="s">
        <v>546</v>
      </c>
      <c r="C166" s="49" t="s">
        <v>547</v>
      </c>
      <c r="D166" s="57">
        <v>1095</v>
      </c>
      <c r="E166" s="74" t="str">
        <f t="shared" si="2"/>
        <v>B</v>
      </c>
      <c r="G166" s="59"/>
    </row>
    <row r="167" spans="1:7" x14ac:dyDescent="0.2">
      <c r="A167" s="67" t="s">
        <v>764</v>
      </c>
      <c r="B167" s="49" t="s">
        <v>363</v>
      </c>
      <c r="C167" s="49" t="s">
        <v>364</v>
      </c>
      <c r="D167" s="57">
        <v>1315</v>
      </c>
      <c r="E167" s="74" t="str">
        <f t="shared" si="2"/>
        <v>B</v>
      </c>
      <c r="G167" s="59"/>
    </row>
    <row r="168" spans="1:7" x14ac:dyDescent="0.2">
      <c r="A168" s="67" t="s">
        <v>765</v>
      </c>
      <c r="B168" s="49" t="s">
        <v>365</v>
      </c>
      <c r="C168" s="49" t="s">
        <v>366</v>
      </c>
      <c r="D168" s="57">
        <v>1315</v>
      </c>
      <c r="E168" s="74" t="str">
        <f t="shared" si="2"/>
        <v>B</v>
      </c>
      <c r="G168" s="59"/>
    </row>
    <row r="169" spans="1:7" x14ac:dyDescent="0.2">
      <c r="A169" s="67" t="s">
        <v>766</v>
      </c>
      <c r="B169" s="49" t="s">
        <v>1851</v>
      </c>
      <c r="C169" s="49" t="s">
        <v>550</v>
      </c>
      <c r="D169" s="57">
        <v>5495</v>
      </c>
      <c r="E169" s="74" t="str">
        <f t="shared" si="2"/>
        <v>B</v>
      </c>
      <c r="G169" s="59"/>
    </row>
    <row r="170" spans="1:7" x14ac:dyDescent="0.2">
      <c r="A170" s="67" t="s">
        <v>767</v>
      </c>
      <c r="B170" s="49" t="s">
        <v>1852</v>
      </c>
      <c r="C170" s="49" t="s">
        <v>551</v>
      </c>
      <c r="D170" s="57">
        <v>5495</v>
      </c>
      <c r="E170" s="74" t="str">
        <f t="shared" si="2"/>
        <v>B</v>
      </c>
      <c r="G170" s="59"/>
    </row>
    <row r="171" spans="1:7" x14ac:dyDescent="0.2">
      <c r="A171" s="67" t="s">
        <v>768</v>
      </c>
      <c r="B171" s="49" t="s">
        <v>1853</v>
      </c>
      <c r="C171" s="49" t="s">
        <v>552</v>
      </c>
      <c r="D171" s="57">
        <v>5495</v>
      </c>
      <c r="E171" s="74" t="str">
        <f t="shared" si="2"/>
        <v>B</v>
      </c>
      <c r="G171" s="59"/>
    </row>
    <row r="172" spans="1:7" x14ac:dyDescent="0.2">
      <c r="A172" s="67" t="s">
        <v>769</v>
      </c>
      <c r="B172" s="49" t="s">
        <v>1854</v>
      </c>
      <c r="C172" s="49" t="s">
        <v>553</v>
      </c>
      <c r="D172" s="57">
        <v>5495</v>
      </c>
      <c r="E172" s="74" t="str">
        <f t="shared" si="2"/>
        <v>B</v>
      </c>
      <c r="G172" s="59"/>
    </row>
    <row r="173" spans="1:7" x14ac:dyDescent="0.2">
      <c r="A173" s="67" t="s">
        <v>770</v>
      </c>
      <c r="B173" s="49" t="s">
        <v>1855</v>
      </c>
      <c r="C173" s="49" t="s">
        <v>554</v>
      </c>
      <c r="D173" s="57">
        <v>5495</v>
      </c>
      <c r="E173" s="74" t="str">
        <f t="shared" si="2"/>
        <v>B</v>
      </c>
      <c r="G173" s="59"/>
    </row>
    <row r="174" spans="1:7" x14ac:dyDescent="0.2">
      <c r="A174" s="67" t="s">
        <v>771</v>
      </c>
      <c r="B174" s="49" t="s">
        <v>1856</v>
      </c>
      <c r="C174" s="49" t="s">
        <v>555</v>
      </c>
      <c r="D174" s="57">
        <v>5495</v>
      </c>
      <c r="E174" s="74" t="str">
        <f t="shared" si="2"/>
        <v>B</v>
      </c>
      <c r="G174" s="59"/>
    </row>
    <row r="175" spans="1:7" x14ac:dyDescent="0.2">
      <c r="A175" s="67" t="s">
        <v>772</v>
      </c>
      <c r="B175" s="49" t="s">
        <v>1857</v>
      </c>
      <c r="C175" s="49" t="s">
        <v>556</v>
      </c>
      <c r="D175" s="57">
        <v>5495</v>
      </c>
      <c r="E175" s="74" t="str">
        <f t="shared" si="2"/>
        <v>B</v>
      </c>
      <c r="G175" s="59"/>
    </row>
    <row r="176" spans="1:7" x14ac:dyDescent="0.2">
      <c r="A176" s="67" t="s">
        <v>612</v>
      </c>
      <c r="B176" s="49" t="s">
        <v>1858</v>
      </c>
      <c r="C176" s="49" t="s">
        <v>557</v>
      </c>
      <c r="D176" s="57">
        <v>5495</v>
      </c>
      <c r="E176" s="74" t="str">
        <f t="shared" si="2"/>
        <v>B</v>
      </c>
      <c r="G176" s="59"/>
    </row>
    <row r="177" spans="1:7" x14ac:dyDescent="0.2">
      <c r="A177" s="67" t="s">
        <v>773</v>
      </c>
      <c r="B177" s="49" t="s">
        <v>548</v>
      </c>
      <c r="C177" s="49" t="s">
        <v>549</v>
      </c>
      <c r="D177" s="57">
        <v>4395</v>
      </c>
      <c r="E177" s="74" t="str">
        <f t="shared" si="2"/>
        <v>B</v>
      </c>
      <c r="G177" s="59"/>
    </row>
    <row r="178" spans="1:7" x14ac:dyDescent="0.2">
      <c r="A178" s="67" t="s">
        <v>774</v>
      </c>
      <c r="B178" s="49" t="s">
        <v>588</v>
      </c>
      <c r="C178" s="49" t="s">
        <v>589</v>
      </c>
      <c r="D178" s="57">
        <v>5495</v>
      </c>
      <c r="E178" s="74" t="str">
        <f t="shared" si="2"/>
        <v>B</v>
      </c>
      <c r="G178" s="59"/>
    </row>
    <row r="179" spans="1:7" x14ac:dyDescent="0.2">
      <c r="A179" s="68" t="s">
        <v>775</v>
      </c>
      <c r="B179" s="39" t="s">
        <v>367</v>
      </c>
      <c r="C179" s="39" t="s">
        <v>368</v>
      </c>
      <c r="D179" s="57">
        <v>1095</v>
      </c>
      <c r="E179" s="74" t="str">
        <f t="shared" si="2"/>
        <v>B</v>
      </c>
      <c r="G179" s="59"/>
    </row>
    <row r="180" spans="1:7" x14ac:dyDescent="0.2">
      <c r="A180" s="67" t="s">
        <v>776</v>
      </c>
      <c r="B180" s="49" t="s">
        <v>529</v>
      </c>
      <c r="C180" s="49" t="s">
        <v>530</v>
      </c>
      <c r="D180" s="57">
        <v>1370</v>
      </c>
      <c r="E180" s="74" t="str">
        <f t="shared" si="2"/>
        <v>B</v>
      </c>
      <c r="G180" s="59"/>
    </row>
    <row r="181" spans="1:7" x14ac:dyDescent="0.2">
      <c r="A181" s="67" t="s">
        <v>777</v>
      </c>
      <c r="B181" s="49" t="s">
        <v>531</v>
      </c>
      <c r="C181" s="49" t="s">
        <v>532</v>
      </c>
      <c r="D181" s="57">
        <v>2745</v>
      </c>
      <c r="E181" s="74" t="str">
        <f t="shared" si="2"/>
        <v>B</v>
      </c>
      <c r="G181" s="59"/>
    </row>
    <row r="182" spans="1:7" x14ac:dyDescent="0.2">
      <c r="A182" s="68" t="s">
        <v>778</v>
      </c>
      <c r="B182" s="39" t="s">
        <v>502</v>
      </c>
      <c r="C182" s="39" t="s">
        <v>503</v>
      </c>
      <c r="D182" s="38">
        <v>2745</v>
      </c>
      <c r="E182" s="74" t="str">
        <f t="shared" si="2"/>
        <v>B</v>
      </c>
      <c r="G182" s="59"/>
    </row>
    <row r="183" spans="1:7" x14ac:dyDescent="0.2">
      <c r="A183" s="67" t="s">
        <v>779</v>
      </c>
      <c r="B183" s="49" t="s">
        <v>533</v>
      </c>
      <c r="C183" s="49" t="s">
        <v>534</v>
      </c>
      <c r="D183" s="57">
        <v>10995</v>
      </c>
      <c r="E183" s="74" t="str">
        <f t="shared" si="2"/>
        <v>C</v>
      </c>
      <c r="G183" s="59"/>
    </row>
    <row r="184" spans="1:7" x14ac:dyDescent="0.2">
      <c r="A184" s="67" t="s">
        <v>780</v>
      </c>
      <c r="B184" s="49" t="s">
        <v>369</v>
      </c>
      <c r="C184" s="49" t="s">
        <v>370</v>
      </c>
      <c r="D184" s="57">
        <v>17595</v>
      </c>
      <c r="E184" s="74" t="str">
        <f t="shared" si="2"/>
        <v>C</v>
      </c>
      <c r="G184" s="59"/>
    </row>
    <row r="185" spans="1:7" x14ac:dyDescent="0.2">
      <c r="A185" s="70" t="s">
        <v>781</v>
      </c>
      <c r="B185" s="64" t="s">
        <v>371</v>
      </c>
      <c r="C185" s="66" t="s">
        <v>372</v>
      </c>
      <c r="D185" s="60">
        <v>21995</v>
      </c>
      <c r="E185" s="74" t="str">
        <f t="shared" si="2"/>
        <v>C</v>
      </c>
      <c r="G185" s="59"/>
    </row>
    <row r="186" spans="1:7" x14ac:dyDescent="0.2">
      <c r="A186" s="70" t="s">
        <v>782</v>
      </c>
      <c r="B186" s="64" t="s">
        <v>373</v>
      </c>
      <c r="C186" s="61" t="s">
        <v>374</v>
      </c>
      <c r="D186" s="60">
        <v>21995</v>
      </c>
      <c r="E186" s="74" t="str">
        <f t="shared" si="2"/>
        <v>C</v>
      </c>
      <c r="G186" s="59"/>
    </row>
    <row r="187" spans="1:7" x14ac:dyDescent="0.2">
      <c r="A187" s="70" t="s">
        <v>783</v>
      </c>
      <c r="B187" s="64" t="s">
        <v>375</v>
      </c>
      <c r="C187" s="61" t="s">
        <v>376</v>
      </c>
      <c r="D187" s="60">
        <v>21995</v>
      </c>
      <c r="E187" s="74" t="str">
        <f t="shared" si="2"/>
        <v>C</v>
      </c>
      <c r="G187" s="59"/>
    </row>
    <row r="188" spans="1:7" x14ac:dyDescent="0.2">
      <c r="A188" s="70" t="s">
        <v>784</v>
      </c>
      <c r="B188" s="64" t="s">
        <v>377</v>
      </c>
      <c r="C188" s="61" t="s">
        <v>378</v>
      </c>
      <c r="D188" s="60">
        <v>21995</v>
      </c>
      <c r="E188" s="74" t="str">
        <f t="shared" si="2"/>
        <v>C</v>
      </c>
      <c r="G188" s="59"/>
    </row>
    <row r="189" spans="1:7" x14ac:dyDescent="0.2">
      <c r="A189" s="70" t="s">
        <v>785</v>
      </c>
      <c r="B189" s="64" t="s">
        <v>379</v>
      </c>
      <c r="C189" s="61" t="s">
        <v>380</v>
      </c>
      <c r="D189" s="60">
        <v>21995</v>
      </c>
      <c r="E189" s="74" t="str">
        <f t="shared" si="2"/>
        <v>C</v>
      </c>
      <c r="G189" s="59"/>
    </row>
    <row r="190" spans="1:7" x14ac:dyDescent="0.2">
      <c r="A190" s="70" t="s">
        <v>786</v>
      </c>
      <c r="B190" s="64" t="s">
        <v>381</v>
      </c>
      <c r="C190" s="61" t="s">
        <v>382</v>
      </c>
      <c r="D190" s="60">
        <v>21995</v>
      </c>
      <c r="E190" s="74" t="str">
        <f t="shared" si="2"/>
        <v>C</v>
      </c>
      <c r="G190" s="59"/>
    </row>
    <row r="191" spans="1:7" x14ac:dyDescent="0.2">
      <c r="A191" s="70" t="s">
        <v>787</v>
      </c>
      <c r="B191" s="64" t="s">
        <v>383</v>
      </c>
      <c r="C191" s="61" t="s">
        <v>384</v>
      </c>
      <c r="D191" s="60">
        <v>21995</v>
      </c>
      <c r="E191" s="74" t="str">
        <f t="shared" si="2"/>
        <v>C</v>
      </c>
      <c r="G191" s="59"/>
    </row>
    <row r="192" spans="1:7" x14ac:dyDescent="0.2">
      <c r="A192" s="70" t="s">
        <v>788</v>
      </c>
      <c r="B192" s="64" t="s">
        <v>385</v>
      </c>
      <c r="C192" s="61" t="s">
        <v>386</v>
      </c>
      <c r="D192" s="60">
        <v>21995</v>
      </c>
      <c r="E192" s="74" t="str">
        <f t="shared" si="2"/>
        <v>C</v>
      </c>
      <c r="G192" s="59"/>
    </row>
    <row r="193" spans="1:7" x14ac:dyDescent="0.2">
      <c r="A193" s="70" t="s">
        <v>789</v>
      </c>
      <c r="B193" s="64" t="s">
        <v>387</v>
      </c>
      <c r="C193" s="61" t="s">
        <v>388</v>
      </c>
      <c r="D193" s="60">
        <v>21995</v>
      </c>
      <c r="E193" s="74" t="str">
        <f t="shared" si="2"/>
        <v>C</v>
      </c>
      <c r="G193" s="59"/>
    </row>
    <row r="194" spans="1:7" x14ac:dyDescent="0.2">
      <c r="A194" s="70" t="s">
        <v>790</v>
      </c>
      <c r="B194" s="64" t="s">
        <v>389</v>
      </c>
      <c r="C194" s="61" t="s">
        <v>390</v>
      </c>
      <c r="D194" s="60">
        <v>21995</v>
      </c>
      <c r="E194" s="74" t="str">
        <f t="shared" si="2"/>
        <v>C</v>
      </c>
      <c r="G194" s="59"/>
    </row>
    <row r="195" spans="1:7" x14ac:dyDescent="0.2">
      <c r="A195" s="70" t="s">
        <v>791</v>
      </c>
      <c r="B195" s="64" t="s">
        <v>391</v>
      </c>
      <c r="C195" s="61" t="s">
        <v>392</v>
      </c>
      <c r="D195" s="60">
        <v>21995</v>
      </c>
      <c r="E195" s="74" t="str">
        <f t="shared" si="2"/>
        <v>C</v>
      </c>
      <c r="G195" s="59"/>
    </row>
    <row r="196" spans="1:7" x14ac:dyDescent="0.2">
      <c r="A196" s="70" t="s">
        <v>792</v>
      </c>
      <c r="B196" s="64" t="s">
        <v>393</v>
      </c>
      <c r="C196" s="61" t="s">
        <v>394</v>
      </c>
      <c r="D196" s="60">
        <v>21995</v>
      </c>
      <c r="E196" s="74" t="str">
        <f t="shared" si="2"/>
        <v>C</v>
      </c>
      <c r="G196" s="59"/>
    </row>
    <row r="197" spans="1:7" x14ac:dyDescent="0.2">
      <c r="A197" s="70" t="s">
        <v>793</v>
      </c>
      <c r="B197" s="64" t="s">
        <v>395</v>
      </c>
      <c r="C197" s="61" t="s">
        <v>396</v>
      </c>
      <c r="D197" s="60">
        <v>21995</v>
      </c>
      <c r="E197" s="74" t="str">
        <f t="shared" ref="E197:E260" si="3">VLOOKUP(D197,$G$4:$H$7,2)</f>
        <v>C</v>
      </c>
      <c r="G197" s="59"/>
    </row>
    <row r="198" spans="1:7" x14ac:dyDescent="0.2">
      <c r="A198" s="70" t="s">
        <v>794</v>
      </c>
      <c r="B198" s="64" t="s">
        <v>397</v>
      </c>
      <c r="C198" s="61" t="s">
        <v>398</v>
      </c>
      <c r="D198" s="60">
        <v>21995</v>
      </c>
      <c r="E198" s="74" t="str">
        <f t="shared" si="3"/>
        <v>C</v>
      </c>
      <c r="G198" s="59"/>
    </row>
    <row r="199" spans="1:7" x14ac:dyDescent="0.2">
      <c r="A199" s="70" t="s">
        <v>795</v>
      </c>
      <c r="B199" s="64" t="s">
        <v>399</v>
      </c>
      <c r="C199" s="61" t="s">
        <v>400</v>
      </c>
      <c r="D199" s="60">
        <v>21995</v>
      </c>
      <c r="E199" s="74" t="str">
        <f t="shared" si="3"/>
        <v>C</v>
      </c>
      <c r="G199" s="59"/>
    </row>
    <row r="200" spans="1:7" x14ac:dyDescent="0.2">
      <c r="A200" s="70" t="s">
        <v>796</v>
      </c>
      <c r="B200" s="64" t="s">
        <v>401</v>
      </c>
      <c r="C200" s="61" t="s">
        <v>402</v>
      </c>
      <c r="D200" s="60">
        <v>21995</v>
      </c>
      <c r="E200" s="74" t="str">
        <f t="shared" si="3"/>
        <v>C</v>
      </c>
      <c r="G200" s="59"/>
    </row>
    <row r="201" spans="1:7" x14ac:dyDescent="0.2">
      <c r="A201" s="70" t="s">
        <v>797</v>
      </c>
      <c r="B201" s="64" t="s">
        <v>403</v>
      </c>
      <c r="C201" s="61" t="s">
        <v>404</v>
      </c>
      <c r="D201" s="60">
        <v>21995</v>
      </c>
      <c r="E201" s="74" t="str">
        <f t="shared" si="3"/>
        <v>C</v>
      </c>
      <c r="G201" s="59"/>
    </row>
    <row r="202" spans="1:7" x14ac:dyDescent="0.2">
      <c r="A202" s="70" t="s">
        <v>798</v>
      </c>
      <c r="B202" s="64" t="s">
        <v>405</v>
      </c>
      <c r="C202" s="61" t="s">
        <v>406</v>
      </c>
      <c r="D202" s="60">
        <v>21995</v>
      </c>
      <c r="E202" s="74" t="str">
        <f t="shared" si="3"/>
        <v>C</v>
      </c>
      <c r="G202" s="59"/>
    </row>
    <row r="203" spans="1:7" x14ac:dyDescent="0.2">
      <c r="A203" s="70" t="s">
        <v>799</v>
      </c>
      <c r="B203" s="64" t="s">
        <v>407</v>
      </c>
      <c r="C203" s="61" t="s">
        <v>408</v>
      </c>
      <c r="D203" s="60">
        <v>21995</v>
      </c>
      <c r="E203" s="74" t="str">
        <f t="shared" si="3"/>
        <v>C</v>
      </c>
      <c r="G203" s="59"/>
    </row>
    <row r="204" spans="1:7" x14ac:dyDescent="0.2">
      <c r="A204" s="70" t="s">
        <v>800</v>
      </c>
      <c r="B204" s="64" t="s">
        <v>409</v>
      </c>
      <c r="C204" s="61" t="s">
        <v>410</v>
      </c>
      <c r="D204" s="60">
        <v>21995</v>
      </c>
      <c r="E204" s="74" t="str">
        <f t="shared" si="3"/>
        <v>C</v>
      </c>
      <c r="G204" s="59"/>
    </row>
    <row r="205" spans="1:7" x14ac:dyDescent="0.2">
      <c r="A205" s="70" t="s">
        <v>801</v>
      </c>
      <c r="B205" s="64" t="s">
        <v>411</v>
      </c>
      <c r="C205" s="61" t="s">
        <v>412</v>
      </c>
      <c r="D205" s="60">
        <v>21995</v>
      </c>
      <c r="E205" s="74" t="str">
        <f t="shared" si="3"/>
        <v>C</v>
      </c>
      <c r="G205" s="59"/>
    </row>
    <row r="206" spans="1:7" x14ac:dyDescent="0.2">
      <c r="A206" s="70" t="s">
        <v>802</v>
      </c>
      <c r="B206" s="64" t="s">
        <v>413</v>
      </c>
      <c r="C206" s="61" t="s">
        <v>414</v>
      </c>
      <c r="D206" s="60">
        <v>21995</v>
      </c>
      <c r="E206" s="74" t="str">
        <f t="shared" si="3"/>
        <v>C</v>
      </c>
      <c r="G206" s="59"/>
    </row>
    <row r="207" spans="1:7" x14ac:dyDescent="0.2">
      <c r="A207" s="70" t="s">
        <v>803</v>
      </c>
      <c r="B207" s="64" t="s">
        <v>415</v>
      </c>
      <c r="C207" s="61" t="s">
        <v>416</v>
      </c>
      <c r="D207" s="60">
        <v>21995</v>
      </c>
      <c r="E207" s="74" t="str">
        <f t="shared" si="3"/>
        <v>C</v>
      </c>
      <c r="G207" s="59"/>
    </row>
    <row r="208" spans="1:7" x14ac:dyDescent="0.2">
      <c r="A208" s="70" t="s">
        <v>804</v>
      </c>
      <c r="B208" s="64" t="s">
        <v>417</v>
      </c>
      <c r="C208" s="61" t="s">
        <v>418</v>
      </c>
      <c r="D208" s="60">
        <v>21995</v>
      </c>
      <c r="E208" s="74" t="str">
        <f t="shared" si="3"/>
        <v>C</v>
      </c>
      <c r="G208" s="59"/>
    </row>
    <row r="209" spans="1:7" x14ac:dyDescent="0.2">
      <c r="A209" s="70" t="s">
        <v>805</v>
      </c>
      <c r="B209" s="64" t="s">
        <v>419</v>
      </c>
      <c r="C209" s="61" t="s">
        <v>420</v>
      </c>
      <c r="D209" s="60">
        <v>21995</v>
      </c>
      <c r="E209" s="74" t="str">
        <f t="shared" si="3"/>
        <v>C</v>
      </c>
      <c r="G209" s="59"/>
    </row>
    <row r="210" spans="1:7" x14ac:dyDescent="0.2">
      <c r="A210" s="70" t="s">
        <v>806</v>
      </c>
      <c r="B210" s="64" t="s">
        <v>421</v>
      </c>
      <c r="C210" s="61" t="s">
        <v>422</v>
      </c>
      <c r="D210" s="60">
        <v>21995</v>
      </c>
      <c r="E210" s="74" t="str">
        <f t="shared" si="3"/>
        <v>C</v>
      </c>
      <c r="G210" s="59"/>
    </row>
    <row r="211" spans="1:7" x14ac:dyDescent="0.2">
      <c r="A211" s="70" t="s">
        <v>807</v>
      </c>
      <c r="B211" s="64" t="s">
        <v>423</v>
      </c>
      <c r="C211" s="61" t="s">
        <v>424</v>
      </c>
      <c r="D211" s="60">
        <v>21995</v>
      </c>
      <c r="E211" s="74" t="str">
        <f t="shared" si="3"/>
        <v>C</v>
      </c>
      <c r="G211" s="59"/>
    </row>
    <row r="212" spans="1:7" x14ac:dyDescent="0.2">
      <c r="A212" s="70" t="s">
        <v>808</v>
      </c>
      <c r="B212" s="64" t="s">
        <v>425</v>
      </c>
      <c r="C212" s="61" t="s">
        <v>426</v>
      </c>
      <c r="D212" s="60">
        <v>21995</v>
      </c>
      <c r="E212" s="74" t="str">
        <f t="shared" si="3"/>
        <v>C</v>
      </c>
      <c r="G212" s="59"/>
    </row>
    <row r="213" spans="1:7" x14ac:dyDescent="0.2">
      <c r="A213" s="70" t="s">
        <v>809</v>
      </c>
      <c r="B213" s="64" t="s">
        <v>427</v>
      </c>
      <c r="C213" s="61" t="s">
        <v>428</v>
      </c>
      <c r="D213" s="60">
        <v>21995</v>
      </c>
      <c r="E213" s="74" t="str">
        <f t="shared" si="3"/>
        <v>C</v>
      </c>
      <c r="G213" s="59"/>
    </row>
    <row r="214" spans="1:7" x14ac:dyDescent="0.2">
      <c r="A214" s="70" t="s">
        <v>810</v>
      </c>
      <c r="B214" s="64" t="s">
        <v>429</v>
      </c>
      <c r="C214" s="61" t="s">
        <v>430</v>
      </c>
      <c r="D214" s="60">
        <v>21995</v>
      </c>
      <c r="E214" s="74" t="str">
        <f t="shared" si="3"/>
        <v>C</v>
      </c>
      <c r="G214" s="59"/>
    </row>
    <row r="215" spans="1:7" x14ac:dyDescent="0.2">
      <c r="A215" s="70" t="s">
        <v>811</v>
      </c>
      <c r="B215" s="64" t="s">
        <v>431</v>
      </c>
      <c r="C215" s="61" t="s">
        <v>432</v>
      </c>
      <c r="D215" s="60">
        <v>21995</v>
      </c>
      <c r="E215" s="74" t="str">
        <f t="shared" si="3"/>
        <v>C</v>
      </c>
      <c r="G215" s="59"/>
    </row>
    <row r="216" spans="1:7" x14ac:dyDescent="0.2">
      <c r="A216" s="70" t="s">
        <v>812</v>
      </c>
      <c r="B216" s="64" t="s">
        <v>433</v>
      </c>
      <c r="C216" s="61" t="s">
        <v>434</v>
      </c>
      <c r="D216" s="60">
        <v>21995</v>
      </c>
      <c r="E216" s="74" t="str">
        <f t="shared" si="3"/>
        <v>C</v>
      </c>
      <c r="G216" s="59"/>
    </row>
    <row r="217" spans="1:7" x14ac:dyDescent="0.2">
      <c r="A217" s="70" t="s">
        <v>813</v>
      </c>
      <c r="B217" s="64" t="s">
        <v>435</v>
      </c>
      <c r="C217" s="61" t="s">
        <v>436</v>
      </c>
      <c r="D217" s="60">
        <v>21995</v>
      </c>
      <c r="E217" s="74" t="str">
        <f t="shared" si="3"/>
        <v>C</v>
      </c>
      <c r="G217" s="59"/>
    </row>
    <row r="218" spans="1:7" x14ac:dyDescent="0.2">
      <c r="A218" s="70" t="s">
        <v>814</v>
      </c>
      <c r="B218" s="64" t="s">
        <v>437</v>
      </c>
      <c r="C218" s="61" t="s">
        <v>438</v>
      </c>
      <c r="D218" s="60">
        <v>21995</v>
      </c>
      <c r="E218" s="74" t="str">
        <f t="shared" si="3"/>
        <v>C</v>
      </c>
      <c r="G218" s="59"/>
    </row>
    <row r="219" spans="1:7" x14ac:dyDescent="0.2">
      <c r="A219" s="70" t="s">
        <v>815</v>
      </c>
      <c r="B219" s="64" t="s">
        <v>439</v>
      </c>
      <c r="C219" s="61" t="s">
        <v>440</v>
      </c>
      <c r="D219" s="60">
        <v>21995</v>
      </c>
      <c r="E219" s="74" t="str">
        <f t="shared" si="3"/>
        <v>C</v>
      </c>
      <c r="G219" s="59"/>
    </row>
    <row r="220" spans="1:7" x14ac:dyDescent="0.2">
      <c r="A220" s="70" t="s">
        <v>816</v>
      </c>
      <c r="B220" s="64" t="s">
        <v>441</v>
      </c>
      <c r="C220" s="61" t="s">
        <v>442</v>
      </c>
      <c r="D220" s="60">
        <v>21995</v>
      </c>
      <c r="E220" s="74" t="str">
        <f t="shared" si="3"/>
        <v>C</v>
      </c>
      <c r="G220" s="59"/>
    </row>
    <row r="221" spans="1:7" x14ac:dyDescent="0.2">
      <c r="A221" s="70" t="s">
        <v>817</v>
      </c>
      <c r="B221" s="64" t="s">
        <v>443</v>
      </c>
      <c r="C221" s="61" t="s">
        <v>444</v>
      </c>
      <c r="D221" s="60">
        <v>21995</v>
      </c>
      <c r="E221" s="74" t="str">
        <f t="shared" si="3"/>
        <v>C</v>
      </c>
      <c r="G221" s="59"/>
    </row>
    <row r="222" spans="1:7" x14ac:dyDescent="0.2">
      <c r="A222" s="70" t="s">
        <v>818</v>
      </c>
      <c r="B222" s="64" t="s">
        <v>445</v>
      </c>
      <c r="C222" s="61" t="s">
        <v>446</v>
      </c>
      <c r="D222" s="60">
        <v>21995</v>
      </c>
      <c r="E222" s="74" t="str">
        <f t="shared" si="3"/>
        <v>C</v>
      </c>
      <c r="G222" s="59"/>
    </row>
    <row r="223" spans="1:7" x14ac:dyDescent="0.2">
      <c r="A223" s="70" t="s">
        <v>819</v>
      </c>
      <c r="B223" s="64" t="s">
        <v>447</v>
      </c>
      <c r="C223" s="61" t="s">
        <v>448</v>
      </c>
      <c r="D223" s="60">
        <v>21995</v>
      </c>
      <c r="E223" s="74" t="str">
        <f t="shared" si="3"/>
        <v>C</v>
      </c>
      <c r="G223" s="59"/>
    </row>
    <row r="224" spans="1:7" x14ac:dyDescent="0.2">
      <c r="A224" s="70" t="s">
        <v>820</v>
      </c>
      <c r="B224" s="64" t="s">
        <v>449</v>
      </c>
      <c r="C224" s="61" t="s">
        <v>450</v>
      </c>
      <c r="D224" s="60">
        <v>21995</v>
      </c>
      <c r="E224" s="74" t="str">
        <f t="shared" si="3"/>
        <v>C</v>
      </c>
      <c r="G224" s="59"/>
    </row>
    <row r="225" spans="1:7" x14ac:dyDescent="0.2">
      <c r="A225" s="67" t="s">
        <v>821</v>
      </c>
      <c r="B225" s="49" t="s">
        <v>1911</v>
      </c>
      <c r="C225" s="49" t="s">
        <v>1912</v>
      </c>
      <c r="D225" s="57">
        <v>4945</v>
      </c>
      <c r="E225" s="74" t="str">
        <f t="shared" si="3"/>
        <v>B</v>
      </c>
      <c r="G225" s="59"/>
    </row>
    <row r="226" spans="1:7" x14ac:dyDescent="0.2">
      <c r="A226" s="67" t="s">
        <v>822</v>
      </c>
      <c r="B226" s="49" t="s">
        <v>1913</v>
      </c>
      <c r="C226" s="49" t="s">
        <v>1914</v>
      </c>
      <c r="D226" s="57">
        <v>6045</v>
      </c>
      <c r="E226" s="74" t="str">
        <f t="shared" si="3"/>
        <v>B</v>
      </c>
      <c r="G226" s="59"/>
    </row>
    <row r="227" spans="1:7" x14ac:dyDescent="0.2">
      <c r="A227" s="67" t="s">
        <v>823</v>
      </c>
      <c r="B227" s="49" t="s">
        <v>1915</v>
      </c>
      <c r="C227" s="49" t="s">
        <v>1916</v>
      </c>
      <c r="D227" s="57">
        <v>5275</v>
      </c>
      <c r="E227" s="74" t="str">
        <f t="shared" si="3"/>
        <v>B</v>
      </c>
      <c r="G227" s="59"/>
    </row>
    <row r="228" spans="1:7" x14ac:dyDescent="0.2">
      <c r="A228" s="67" t="s">
        <v>824</v>
      </c>
      <c r="B228" s="49" t="s">
        <v>1915</v>
      </c>
      <c r="C228" s="49" t="s">
        <v>1916</v>
      </c>
      <c r="D228" s="57">
        <v>6375</v>
      </c>
      <c r="E228" s="74" t="str">
        <f t="shared" si="3"/>
        <v>B</v>
      </c>
      <c r="G228" s="59"/>
    </row>
    <row r="229" spans="1:7" x14ac:dyDescent="0.2">
      <c r="A229" s="67" t="s">
        <v>825</v>
      </c>
      <c r="B229" s="49" t="s">
        <v>1917</v>
      </c>
      <c r="C229" s="49" t="s">
        <v>1918</v>
      </c>
      <c r="D229" s="57">
        <v>7695</v>
      </c>
      <c r="E229" s="74" t="str">
        <f t="shared" si="3"/>
        <v>B</v>
      </c>
      <c r="G229" s="59"/>
    </row>
    <row r="230" spans="1:7" x14ac:dyDescent="0.2">
      <c r="A230" s="67" t="s">
        <v>826</v>
      </c>
      <c r="B230" s="49" t="s">
        <v>1919</v>
      </c>
      <c r="C230" s="49" t="s">
        <v>1918</v>
      </c>
      <c r="D230" s="57">
        <v>8795</v>
      </c>
      <c r="E230" s="74" t="str">
        <f t="shared" si="3"/>
        <v>B</v>
      </c>
      <c r="G230" s="59"/>
    </row>
    <row r="231" spans="1:7" x14ac:dyDescent="0.2">
      <c r="A231" s="67" t="s">
        <v>827</v>
      </c>
      <c r="B231" s="49" t="s">
        <v>1920</v>
      </c>
      <c r="C231" s="49" t="s">
        <v>1921</v>
      </c>
      <c r="D231" s="57">
        <v>8025</v>
      </c>
      <c r="E231" s="74" t="str">
        <f t="shared" si="3"/>
        <v>B</v>
      </c>
      <c r="G231" s="59"/>
    </row>
    <row r="232" spans="1:7" x14ac:dyDescent="0.2">
      <c r="A232" s="67" t="s">
        <v>828</v>
      </c>
      <c r="B232" s="49" t="s">
        <v>1922</v>
      </c>
      <c r="C232" s="49" t="s">
        <v>1923</v>
      </c>
      <c r="D232" s="57">
        <v>9125</v>
      </c>
      <c r="E232" s="74" t="str">
        <f t="shared" si="3"/>
        <v>B</v>
      </c>
      <c r="G232" s="59"/>
    </row>
    <row r="233" spans="1:7" x14ac:dyDescent="0.2">
      <c r="A233" s="67" t="s">
        <v>829</v>
      </c>
      <c r="B233" s="49" t="s">
        <v>1924</v>
      </c>
      <c r="C233" s="49" t="s">
        <v>1925</v>
      </c>
      <c r="D233" s="57">
        <v>9345</v>
      </c>
      <c r="E233" s="74" t="str">
        <f t="shared" si="3"/>
        <v>B</v>
      </c>
      <c r="G233" s="59"/>
    </row>
    <row r="234" spans="1:7" x14ac:dyDescent="0.2">
      <c r="A234" s="67" t="s">
        <v>830</v>
      </c>
      <c r="B234" s="49" t="s">
        <v>1926</v>
      </c>
      <c r="C234" s="49" t="s">
        <v>1927</v>
      </c>
      <c r="D234" s="57">
        <v>10445</v>
      </c>
      <c r="E234" s="74" t="str">
        <f t="shared" si="3"/>
        <v>C</v>
      </c>
      <c r="G234" s="59"/>
    </row>
    <row r="235" spans="1:7" x14ac:dyDescent="0.2">
      <c r="A235" s="67" t="s">
        <v>831</v>
      </c>
      <c r="B235" s="49" t="s">
        <v>1928</v>
      </c>
      <c r="C235" s="49" t="s">
        <v>1929</v>
      </c>
      <c r="D235" s="57">
        <v>9675</v>
      </c>
      <c r="E235" s="74" t="str">
        <f t="shared" si="3"/>
        <v>B</v>
      </c>
      <c r="G235" s="59"/>
    </row>
    <row r="236" spans="1:7" x14ac:dyDescent="0.2">
      <c r="A236" s="67" t="s">
        <v>832</v>
      </c>
      <c r="B236" s="49" t="s">
        <v>1930</v>
      </c>
      <c r="C236" s="49" t="s">
        <v>1931</v>
      </c>
      <c r="D236" s="57">
        <v>10775</v>
      </c>
      <c r="E236" s="74" t="str">
        <f t="shared" si="3"/>
        <v>C</v>
      </c>
      <c r="G236" s="59"/>
    </row>
    <row r="237" spans="1:7" x14ac:dyDescent="0.2">
      <c r="A237" s="67" t="s">
        <v>833</v>
      </c>
      <c r="B237" s="49" t="s">
        <v>1932</v>
      </c>
      <c r="C237" s="49" t="s">
        <v>1914</v>
      </c>
      <c r="D237" s="57">
        <v>8795</v>
      </c>
      <c r="E237" s="74" t="str">
        <f t="shared" si="3"/>
        <v>B</v>
      </c>
      <c r="G237" s="59"/>
    </row>
    <row r="238" spans="1:7" x14ac:dyDescent="0.2">
      <c r="A238" s="67" t="s">
        <v>834</v>
      </c>
      <c r="B238" s="49" t="s">
        <v>1933</v>
      </c>
      <c r="C238" s="49" t="s">
        <v>1914</v>
      </c>
      <c r="D238" s="57">
        <v>10445</v>
      </c>
      <c r="E238" s="74" t="str">
        <f t="shared" si="3"/>
        <v>C</v>
      </c>
      <c r="G238" s="59"/>
    </row>
    <row r="239" spans="1:7" x14ac:dyDescent="0.2">
      <c r="A239" s="67" t="s">
        <v>835</v>
      </c>
      <c r="B239" s="49" t="s">
        <v>1934</v>
      </c>
      <c r="C239" s="49" t="s">
        <v>1935</v>
      </c>
      <c r="D239" s="57">
        <v>9125</v>
      </c>
      <c r="E239" s="74" t="str">
        <f t="shared" si="3"/>
        <v>B</v>
      </c>
      <c r="G239" s="59"/>
    </row>
    <row r="240" spans="1:7" x14ac:dyDescent="0.2">
      <c r="A240" s="67" t="s">
        <v>836</v>
      </c>
      <c r="B240" s="49" t="s">
        <v>1936</v>
      </c>
      <c r="C240" s="49" t="s">
        <v>1937</v>
      </c>
      <c r="D240" s="57">
        <v>10775</v>
      </c>
      <c r="E240" s="74" t="str">
        <f t="shared" si="3"/>
        <v>C</v>
      </c>
      <c r="G240" s="59"/>
    </row>
    <row r="241" spans="1:7" x14ac:dyDescent="0.2">
      <c r="A241" s="67" t="s">
        <v>837</v>
      </c>
      <c r="B241" s="49" t="s">
        <v>1938</v>
      </c>
      <c r="C241" s="49" t="s">
        <v>1939</v>
      </c>
      <c r="D241" s="57">
        <v>11545</v>
      </c>
      <c r="E241" s="74" t="str">
        <f t="shared" si="3"/>
        <v>C</v>
      </c>
      <c r="G241" s="59"/>
    </row>
    <row r="242" spans="1:7" x14ac:dyDescent="0.2">
      <c r="A242" s="67" t="s">
        <v>838</v>
      </c>
      <c r="B242" s="49" t="s">
        <v>1940</v>
      </c>
      <c r="C242" s="49" t="s">
        <v>1941</v>
      </c>
      <c r="D242" s="57">
        <v>11875</v>
      </c>
      <c r="E242" s="74" t="str">
        <f t="shared" si="3"/>
        <v>C</v>
      </c>
      <c r="G242" s="59"/>
    </row>
    <row r="243" spans="1:7" x14ac:dyDescent="0.2">
      <c r="A243" s="67" t="s">
        <v>839</v>
      </c>
      <c r="B243" s="49" t="s">
        <v>1942</v>
      </c>
      <c r="C243" s="49" t="s">
        <v>1939</v>
      </c>
      <c r="D243" s="57">
        <v>13195</v>
      </c>
      <c r="E243" s="74" t="str">
        <f t="shared" si="3"/>
        <v>C</v>
      </c>
      <c r="G243" s="59"/>
    </row>
    <row r="244" spans="1:7" x14ac:dyDescent="0.2">
      <c r="A244" s="67" t="s">
        <v>840</v>
      </c>
      <c r="B244" s="49" t="s">
        <v>1940</v>
      </c>
      <c r="C244" s="49" t="s">
        <v>1941</v>
      </c>
      <c r="D244" s="57">
        <v>13525</v>
      </c>
      <c r="E244" s="74" t="str">
        <f t="shared" si="3"/>
        <v>C</v>
      </c>
      <c r="G244" s="59"/>
    </row>
    <row r="245" spans="1:7" x14ac:dyDescent="0.2">
      <c r="A245" s="67" t="s">
        <v>841</v>
      </c>
      <c r="B245" s="49" t="s">
        <v>1943</v>
      </c>
      <c r="C245" s="49" t="s">
        <v>1925</v>
      </c>
      <c r="D245" s="57">
        <v>13195</v>
      </c>
      <c r="E245" s="74" t="str">
        <f t="shared" si="3"/>
        <v>C</v>
      </c>
      <c r="G245" s="59"/>
    </row>
    <row r="246" spans="1:7" x14ac:dyDescent="0.2">
      <c r="A246" s="67" t="s">
        <v>842</v>
      </c>
      <c r="B246" s="49" t="s">
        <v>1944</v>
      </c>
      <c r="C246" s="49" t="s">
        <v>1925</v>
      </c>
      <c r="D246" s="57">
        <v>14845</v>
      </c>
      <c r="E246" s="74" t="str">
        <f t="shared" si="3"/>
        <v>C</v>
      </c>
      <c r="G246" s="59"/>
    </row>
    <row r="247" spans="1:7" x14ac:dyDescent="0.2">
      <c r="A247" s="67" t="s">
        <v>843</v>
      </c>
      <c r="B247" s="49" t="s">
        <v>1945</v>
      </c>
      <c r="C247" s="49" t="s">
        <v>1946</v>
      </c>
      <c r="D247" s="57">
        <v>9145</v>
      </c>
      <c r="E247" s="74" t="str">
        <f t="shared" si="3"/>
        <v>B</v>
      </c>
      <c r="G247" s="59"/>
    </row>
    <row r="248" spans="1:7" x14ac:dyDescent="0.2">
      <c r="A248" s="67" t="s">
        <v>844</v>
      </c>
      <c r="B248" s="49" t="s">
        <v>1945</v>
      </c>
      <c r="C248" s="49" t="s">
        <v>1947</v>
      </c>
      <c r="D248" s="57">
        <v>15175</v>
      </c>
      <c r="E248" s="74" t="str">
        <f t="shared" si="3"/>
        <v>C</v>
      </c>
      <c r="G248" s="59"/>
    </row>
    <row r="249" spans="1:7" x14ac:dyDescent="0.2">
      <c r="A249" s="67" t="s">
        <v>845</v>
      </c>
      <c r="B249" s="49" t="s">
        <v>1948</v>
      </c>
      <c r="C249" s="49" t="s">
        <v>1949</v>
      </c>
      <c r="D249" s="57">
        <v>10995</v>
      </c>
      <c r="E249" s="74" t="str">
        <f t="shared" si="3"/>
        <v>C</v>
      </c>
      <c r="G249" s="59"/>
    </row>
    <row r="250" spans="1:7" x14ac:dyDescent="0.2">
      <c r="A250" s="67" t="s">
        <v>846</v>
      </c>
      <c r="B250" s="49" t="s">
        <v>1948</v>
      </c>
      <c r="C250" s="49" t="s">
        <v>1949</v>
      </c>
      <c r="D250" s="57">
        <v>12095</v>
      </c>
      <c r="E250" s="74" t="str">
        <f t="shared" si="3"/>
        <v>C</v>
      </c>
      <c r="G250" s="59"/>
    </row>
    <row r="251" spans="1:7" x14ac:dyDescent="0.2">
      <c r="A251" s="67" t="s">
        <v>847</v>
      </c>
      <c r="B251" s="49" t="s">
        <v>1950</v>
      </c>
      <c r="C251" s="49" t="s">
        <v>1951</v>
      </c>
      <c r="D251" s="57">
        <v>11325</v>
      </c>
      <c r="E251" s="74" t="str">
        <f t="shared" si="3"/>
        <v>C</v>
      </c>
      <c r="G251" s="59"/>
    </row>
    <row r="252" spans="1:7" x14ac:dyDescent="0.2">
      <c r="A252" s="67" t="s">
        <v>848</v>
      </c>
      <c r="B252" s="49" t="s">
        <v>1950</v>
      </c>
      <c r="C252" s="49" t="s">
        <v>1951</v>
      </c>
      <c r="D252" s="57">
        <v>12425</v>
      </c>
      <c r="E252" s="74" t="str">
        <f t="shared" si="3"/>
        <v>C</v>
      </c>
      <c r="G252" s="59"/>
    </row>
    <row r="253" spans="1:7" x14ac:dyDescent="0.2">
      <c r="A253" s="67" t="s">
        <v>849</v>
      </c>
      <c r="B253" s="49" t="s">
        <v>1952</v>
      </c>
      <c r="C253" s="49" t="s">
        <v>1953</v>
      </c>
      <c r="D253" s="57">
        <v>13745</v>
      </c>
      <c r="E253" s="74" t="str">
        <f t="shared" si="3"/>
        <v>C</v>
      </c>
      <c r="G253" s="59"/>
    </row>
    <row r="254" spans="1:7" x14ac:dyDescent="0.2">
      <c r="A254" s="67" t="s">
        <v>850</v>
      </c>
      <c r="B254" s="49" t="s">
        <v>1954</v>
      </c>
      <c r="C254" s="49" t="s">
        <v>1955</v>
      </c>
      <c r="D254" s="57">
        <v>14845</v>
      </c>
      <c r="E254" s="74" t="str">
        <f t="shared" si="3"/>
        <v>C</v>
      </c>
      <c r="G254" s="59"/>
    </row>
    <row r="255" spans="1:7" x14ac:dyDescent="0.2">
      <c r="A255" s="67" t="s">
        <v>851</v>
      </c>
      <c r="B255" s="49" t="s">
        <v>1956</v>
      </c>
      <c r="C255" s="49" t="s">
        <v>1957</v>
      </c>
      <c r="D255" s="57">
        <v>14075</v>
      </c>
      <c r="E255" s="74" t="str">
        <f t="shared" si="3"/>
        <v>C</v>
      </c>
      <c r="G255" s="59"/>
    </row>
    <row r="256" spans="1:7" x14ac:dyDescent="0.2">
      <c r="A256" s="67" t="s">
        <v>852</v>
      </c>
      <c r="B256" s="49" t="s">
        <v>1958</v>
      </c>
      <c r="C256" s="49" t="s">
        <v>1957</v>
      </c>
      <c r="D256" s="57">
        <v>15175</v>
      </c>
      <c r="E256" s="74" t="str">
        <f t="shared" si="3"/>
        <v>C</v>
      </c>
      <c r="G256" s="59"/>
    </row>
    <row r="257" spans="1:7" x14ac:dyDescent="0.2">
      <c r="A257" s="67" t="s">
        <v>853</v>
      </c>
      <c r="B257" s="49" t="s">
        <v>1959</v>
      </c>
      <c r="C257" s="49" t="s">
        <v>1960</v>
      </c>
      <c r="D257" s="57">
        <v>15395</v>
      </c>
      <c r="E257" s="74" t="str">
        <f t="shared" si="3"/>
        <v>C</v>
      </c>
      <c r="G257" s="59"/>
    </row>
    <row r="258" spans="1:7" x14ac:dyDescent="0.2">
      <c r="A258" s="67" t="s">
        <v>854</v>
      </c>
      <c r="B258" s="49" t="s">
        <v>1959</v>
      </c>
      <c r="C258" s="49" t="s">
        <v>1961</v>
      </c>
      <c r="D258" s="57">
        <v>16495</v>
      </c>
      <c r="E258" s="74" t="str">
        <f t="shared" si="3"/>
        <v>C</v>
      </c>
      <c r="G258" s="59"/>
    </row>
    <row r="259" spans="1:7" x14ac:dyDescent="0.2">
      <c r="A259" s="67" t="s">
        <v>855</v>
      </c>
      <c r="B259" s="49" t="s">
        <v>1962</v>
      </c>
      <c r="C259" s="49" t="s">
        <v>1963</v>
      </c>
      <c r="D259" s="57">
        <v>15725</v>
      </c>
      <c r="E259" s="74" t="str">
        <f t="shared" si="3"/>
        <v>C</v>
      </c>
      <c r="G259" s="59"/>
    </row>
    <row r="260" spans="1:7" x14ac:dyDescent="0.2">
      <c r="A260" s="67" t="s">
        <v>856</v>
      </c>
      <c r="B260" s="49" t="s">
        <v>1964</v>
      </c>
      <c r="C260" s="49" t="s">
        <v>1963</v>
      </c>
      <c r="D260" s="57">
        <v>16825</v>
      </c>
      <c r="E260" s="74" t="str">
        <f t="shared" si="3"/>
        <v>C</v>
      </c>
      <c r="G260" s="59"/>
    </row>
    <row r="261" spans="1:7" x14ac:dyDescent="0.2">
      <c r="A261" s="67" t="s">
        <v>857</v>
      </c>
      <c r="B261" s="49" t="s">
        <v>1880</v>
      </c>
      <c r="C261" s="49" t="s">
        <v>1881</v>
      </c>
      <c r="D261" s="57">
        <v>6595</v>
      </c>
      <c r="E261" s="74" t="str">
        <f t="shared" ref="E261:E324" si="4">VLOOKUP(D261,$G$4:$H$7,2)</f>
        <v>B</v>
      </c>
      <c r="G261" s="59"/>
    </row>
    <row r="262" spans="1:7" x14ac:dyDescent="0.2">
      <c r="A262" s="67" t="s">
        <v>858</v>
      </c>
      <c r="B262" s="49" t="s">
        <v>1882</v>
      </c>
      <c r="C262" s="49" t="s">
        <v>1883</v>
      </c>
      <c r="D262" s="57">
        <v>6925</v>
      </c>
      <c r="E262" s="74" t="str">
        <f t="shared" si="4"/>
        <v>B</v>
      </c>
      <c r="G262" s="59"/>
    </row>
    <row r="263" spans="1:7" x14ac:dyDescent="0.2">
      <c r="A263" s="67" t="s">
        <v>859</v>
      </c>
      <c r="B263" s="49" t="s">
        <v>1884</v>
      </c>
      <c r="C263" s="49" t="s">
        <v>1885</v>
      </c>
      <c r="D263" s="57">
        <v>9345</v>
      </c>
      <c r="E263" s="74" t="str">
        <f t="shared" si="4"/>
        <v>B</v>
      </c>
      <c r="G263" s="59"/>
    </row>
    <row r="264" spans="1:7" x14ac:dyDescent="0.2">
      <c r="A264" s="67" t="s">
        <v>860</v>
      </c>
      <c r="B264" s="49" t="s">
        <v>1886</v>
      </c>
      <c r="C264" s="49" t="s">
        <v>1887</v>
      </c>
      <c r="D264" s="57">
        <v>9675</v>
      </c>
      <c r="E264" s="74" t="str">
        <f t="shared" si="4"/>
        <v>B</v>
      </c>
      <c r="G264" s="59"/>
    </row>
    <row r="265" spans="1:7" x14ac:dyDescent="0.2">
      <c r="A265" s="67" t="s">
        <v>861</v>
      </c>
      <c r="B265" s="49" t="s">
        <v>1888</v>
      </c>
      <c r="C265" s="49" t="s">
        <v>1889</v>
      </c>
      <c r="D265" s="57">
        <v>10995</v>
      </c>
      <c r="E265" s="74" t="str">
        <f t="shared" si="4"/>
        <v>C</v>
      </c>
      <c r="G265" s="59"/>
    </row>
    <row r="266" spans="1:7" x14ac:dyDescent="0.2">
      <c r="A266" s="67" t="s">
        <v>862</v>
      </c>
      <c r="B266" s="49" t="s">
        <v>1890</v>
      </c>
      <c r="C266" s="49" t="s">
        <v>1891</v>
      </c>
      <c r="D266" s="57">
        <v>11325</v>
      </c>
      <c r="E266" s="74" t="str">
        <f t="shared" si="4"/>
        <v>C</v>
      </c>
      <c r="G266" s="59"/>
    </row>
    <row r="267" spans="1:7" x14ac:dyDescent="0.2">
      <c r="A267" s="67" t="s">
        <v>863</v>
      </c>
      <c r="B267" s="49" t="s">
        <v>1892</v>
      </c>
      <c r="C267" s="49" t="s">
        <v>1893</v>
      </c>
      <c r="D267" s="57">
        <v>7695</v>
      </c>
      <c r="E267" s="74" t="str">
        <f t="shared" si="4"/>
        <v>B</v>
      </c>
      <c r="G267" s="59"/>
    </row>
    <row r="268" spans="1:7" x14ac:dyDescent="0.2">
      <c r="A268" s="67" t="s">
        <v>864</v>
      </c>
      <c r="B268" s="49" t="s">
        <v>1894</v>
      </c>
      <c r="C268" s="49" t="s">
        <v>1895</v>
      </c>
      <c r="D268" s="57">
        <v>8025</v>
      </c>
      <c r="E268" s="74" t="str">
        <f t="shared" si="4"/>
        <v>B</v>
      </c>
      <c r="G268" s="59"/>
    </row>
    <row r="269" spans="1:7" x14ac:dyDescent="0.2">
      <c r="A269" s="67" t="s">
        <v>865</v>
      </c>
      <c r="B269" s="49" t="s">
        <v>1896</v>
      </c>
      <c r="C269" s="49" t="s">
        <v>1897</v>
      </c>
      <c r="D269" s="57">
        <v>10445</v>
      </c>
      <c r="E269" s="74" t="str">
        <f t="shared" si="4"/>
        <v>C</v>
      </c>
      <c r="G269" s="59"/>
    </row>
    <row r="270" spans="1:7" x14ac:dyDescent="0.2">
      <c r="A270" s="67" t="s">
        <v>866</v>
      </c>
      <c r="B270" s="49" t="s">
        <v>1898</v>
      </c>
      <c r="C270" s="49" t="s">
        <v>1899</v>
      </c>
      <c r="D270" s="57">
        <v>10775</v>
      </c>
      <c r="E270" s="74" t="str">
        <f t="shared" si="4"/>
        <v>C</v>
      </c>
      <c r="G270" s="59"/>
    </row>
    <row r="271" spans="1:7" x14ac:dyDescent="0.2">
      <c r="A271" s="67" t="s">
        <v>867</v>
      </c>
      <c r="B271" s="49" t="s">
        <v>1900</v>
      </c>
      <c r="C271" s="49" t="s">
        <v>1901</v>
      </c>
      <c r="D271" s="57">
        <v>12095</v>
      </c>
      <c r="E271" s="74" t="str">
        <f t="shared" si="4"/>
        <v>C</v>
      </c>
      <c r="G271" s="59"/>
    </row>
    <row r="272" spans="1:7" x14ac:dyDescent="0.2">
      <c r="A272" s="67" t="s">
        <v>868</v>
      </c>
      <c r="B272" s="49" t="s">
        <v>1902</v>
      </c>
      <c r="C272" s="49" t="s">
        <v>1903</v>
      </c>
      <c r="D272" s="57">
        <v>12425</v>
      </c>
      <c r="E272" s="74" t="str">
        <f t="shared" si="4"/>
        <v>C</v>
      </c>
      <c r="G272" s="59"/>
    </row>
    <row r="273" spans="1:7" x14ac:dyDescent="0.2">
      <c r="A273" s="67" t="s">
        <v>869</v>
      </c>
      <c r="B273" s="49" t="s">
        <v>468</v>
      </c>
      <c r="C273" s="49" t="s">
        <v>469</v>
      </c>
      <c r="D273" s="57">
        <v>2745</v>
      </c>
      <c r="E273" s="74" t="str">
        <f t="shared" si="4"/>
        <v>B</v>
      </c>
      <c r="G273" s="59"/>
    </row>
    <row r="274" spans="1:7" x14ac:dyDescent="0.2">
      <c r="A274" s="67" t="s">
        <v>870</v>
      </c>
      <c r="B274" s="49" t="s">
        <v>470</v>
      </c>
      <c r="C274" s="49" t="s">
        <v>451</v>
      </c>
      <c r="D274" s="57">
        <v>4395</v>
      </c>
      <c r="E274" s="74" t="str">
        <f t="shared" si="4"/>
        <v>B</v>
      </c>
      <c r="G274" s="59"/>
    </row>
    <row r="275" spans="1:7" x14ac:dyDescent="0.2">
      <c r="A275" s="67" t="s">
        <v>871</v>
      </c>
      <c r="B275" s="49" t="s">
        <v>1965</v>
      </c>
      <c r="C275" s="49" t="s">
        <v>476</v>
      </c>
      <c r="D275" s="57">
        <v>1095</v>
      </c>
      <c r="E275" s="74" t="str">
        <f t="shared" si="4"/>
        <v>B</v>
      </c>
      <c r="G275" s="59"/>
    </row>
    <row r="276" spans="1:7" x14ac:dyDescent="0.2">
      <c r="A276" s="67" t="s">
        <v>872</v>
      </c>
      <c r="B276" s="49" t="s">
        <v>1966</v>
      </c>
      <c r="C276" s="49" t="s">
        <v>479</v>
      </c>
      <c r="D276" s="57">
        <v>1645</v>
      </c>
      <c r="E276" s="74" t="str">
        <f t="shared" si="4"/>
        <v>B</v>
      </c>
      <c r="G276" s="59"/>
    </row>
    <row r="277" spans="1:7" x14ac:dyDescent="0.2">
      <c r="A277" s="67" t="s">
        <v>873</v>
      </c>
      <c r="B277" s="49" t="s">
        <v>472</v>
      </c>
      <c r="C277" s="49" t="s">
        <v>473</v>
      </c>
      <c r="D277" s="57">
        <v>1095</v>
      </c>
      <c r="E277" s="74" t="str">
        <f t="shared" si="4"/>
        <v>B</v>
      </c>
      <c r="G277" s="59"/>
    </row>
    <row r="278" spans="1:7" x14ac:dyDescent="0.2">
      <c r="A278" s="67" t="s">
        <v>874</v>
      </c>
      <c r="B278" s="49" t="s">
        <v>474</v>
      </c>
      <c r="C278" s="49" t="s">
        <v>475</v>
      </c>
      <c r="D278" s="57">
        <v>1425</v>
      </c>
      <c r="E278" s="74" t="str">
        <f t="shared" si="4"/>
        <v>B</v>
      </c>
      <c r="G278" s="59"/>
    </row>
    <row r="279" spans="1:7" x14ac:dyDescent="0.2">
      <c r="A279" s="67" t="s">
        <v>875</v>
      </c>
      <c r="B279" s="49" t="s">
        <v>477</v>
      </c>
      <c r="C279" s="49" t="s">
        <v>478</v>
      </c>
      <c r="D279" s="57">
        <v>1645</v>
      </c>
      <c r="E279" s="74" t="str">
        <f t="shared" si="4"/>
        <v>B</v>
      </c>
      <c r="G279" s="59"/>
    </row>
    <row r="280" spans="1:7" x14ac:dyDescent="0.2">
      <c r="A280" s="67" t="s">
        <v>876</v>
      </c>
      <c r="B280" s="49" t="s">
        <v>1904</v>
      </c>
      <c r="C280" s="49" t="s">
        <v>478</v>
      </c>
      <c r="D280" s="57">
        <v>1645</v>
      </c>
      <c r="E280" s="74" t="str">
        <f t="shared" si="4"/>
        <v>B</v>
      </c>
      <c r="G280" s="59"/>
    </row>
    <row r="281" spans="1:7" x14ac:dyDescent="0.2">
      <c r="A281" s="67" t="s">
        <v>877</v>
      </c>
      <c r="B281" s="49" t="s">
        <v>1905</v>
      </c>
      <c r="C281" s="49" t="s">
        <v>1906</v>
      </c>
      <c r="D281" s="57">
        <v>1975</v>
      </c>
      <c r="E281" s="74" t="str">
        <f t="shared" si="4"/>
        <v>B</v>
      </c>
      <c r="G281" s="59"/>
    </row>
    <row r="282" spans="1:7" x14ac:dyDescent="0.2">
      <c r="A282" s="69" t="s">
        <v>878</v>
      </c>
      <c r="B282" s="63" t="s">
        <v>2229</v>
      </c>
      <c r="C282" s="63" t="s">
        <v>2229</v>
      </c>
      <c r="D282" s="38">
        <v>55</v>
      </c>
      <c r="E282" s="74" t="str">
        <f t="shared" si="4"/>
        <v>A</v>
      </c>
      <c r="G282" s="59"/>
    </row>
    <row r="283" spans="1:7" x14ac:dyDescent="0.2">
      <c r="A283" s="68" t="s">
        <v>879</v>
      </c>
      <c r="B283" s="39" t="s">
        <v>471</v>
      </c>
      <c r="C283" s="39" t="s">
        <v>368</v>
      </c>
      <c r="D283" s="57">
        <v>1095</v>
      </c>
      <c r="E283" s="74" t="str">
        <f t="shared" si="4"/>
        <v>B</v>
      </c>
      <c r="G283" s="59"/>
    </row>
    <row r="284" spans="1:7" x14ac:dyDescent="0.2">
      <c r="A284" s="67" t="s">
        <v>880</v>
      </c>
      <c r="B284" s="49" t="s">
        <v>529</v>
      </c>
      <c r="C284" s="49" t="s">
        <v>530</v>
      </c>
      <c r="D284" s="57">
        <v>1370</v>
      </c>
      <c r="E284" s="74" t="str">
        <f t="shared" si="4"/>
        <v>B</v>
      </c>
      <c r="G284" s="59"/>
    </row>
    <row r="285" spans="1:7" x14ac:dyDescent="0.2">
      <c r="A285" s="67" t="s">
        <v>881</v>
      </c>
      <c r="B285" s="49" t="s">
        <v>531</v>
      </c>
      <c r="C285" s="49" t="s">
        <v>532</v>
      </c>
      <c r="D285" s="57">
        <v>2745</v>
      </c>
      <c r="E285" s="74" t="str">
        <f t="shared" si="4"/>
        <v>B</v>
      </c>
      <c r="G285" s="59"/>
    </row>
    <row r="286" spans="1:7" x14ac:dyDescent="0.2">
      <c r="A286" s="67" t="s">
        <v>882</v>
      </c>
      <c r="B286" s="49" t="s">
        <v>533</v>
      </c>
      <c r="C286" s="49" t="s">
        <v>534</v>
      </c>
      <c r="D286" s="57">
        <v>10995</v>
      </c>
      <c r="E286" s="74" t="str">
        <f t="shared" si="4"/>
        <v>C</v>
      </c>
      <c r="G286" s="59"/>
    </row>
    <row r="287" spans="1:7" x14ac:dyDescent="0.2">
      <c r="A287" s="67" t="s">
        <v>883</v>
      </c>
      <c r="B287" s="49" t="s">
        <v>369</v>
      </c>
      <c r="C287" s="49" t="s">
        <v>370</v>
      </c>
      <c r="D287" s="57">
        <v>17595</v>
      </c>
      <c r="E287" s="74" t="str">
        <f t="shared" si="4"/>
        <v>C</v>
      </c>
      <c r="G287" s="59"/>
    </row>
    <row r="288" spans="1:7" x14ac:dyDescent="0.2">
      <c r="A288" s="70" t="s">
        <v>884</v>
      </c>
      <c r="B288" s="64" t="s">
        <v>371</v>
      </c>
      <c r="C288" s="66" t="s">
        <v>372</v>
      </c>
      <c r="D288" s="60">
        <v>21995</v>
      </c>
      <c r="E288" s="74" t="str">
        <f t="shared" si="4"/>
        <v>C</v>
      </c>
      <c r="G288" s="59"/>
    </row>
    <row r="289" spans="1:7" x14ac:dyDescent="0.2">
      <c r="A289" s="70" t="s">
        <v>885</v>
      </c>
      <c r="B289" s="64" t="s">
        <v>373</v>
      </c>
      <c r="C289" s="61" t="s">
        <v>374</v>
      </c>
      <c r="D289" s="60">
        <v>21995</v>
      </c>
      <c r="E289" s="74" t="str">
        <f t="shared" si="4"/>
        <v>C</v>
      </c>
      <c r="G289" s="59"/>
    </row>
    <row r="290" spans="1:7" x14ac:dyDescent="0.2">
      <c r="A290" s="70" t="s">
        <v>886</v>
      </c>
      <c r="B290" s="64" t="s">
        <v>375</v>
      </c>
      <c r="C290" s="61" t="s">
        <v>376</v>
      </c>
      <c r="D290" s="60">
        <v>21995</v>
      </c>
      <c r="E290" s="74" t="str">
        <f t="shared" si="4"/>
        <v>C</v>
      </c>
      <c r="G290" s="59"/>
    </row>
    <row r="291" spans="1:7" x14ac:dyDescent="0.2">
      <c r="A291" s="70" t="s">
        <v>887</v>
      </c>
      <c r="B291" s="64" t="s">
        <v>377</v>
      </c>
      <c r="C291" s="61" t="s">
        <v>378</v>
      </c>
      <c r="D291" s="60">
        <v>21995</v>
      </c>
      <c r="E291" s="74" t="str">
        <f t="shared" si="4"/>
        <v>C</v>
      </c>
      <c r="G291" s="59"/>
    </row>
    <row r="292" spans="1:7" x14ac:dyDescent="0.2">
      <c r="A292" s="70" t="s">
        <v>888</v>
      </c>
      <c r="B292" s="64" t="s">
        <v>379</v>
      </c>
      <c r="C292" s="61" t="s">
        <v>380</v>
      </c>
      <c r="D292" s="60">
        <v>21995</v>
      </c>
      <c r="E292" s="74" t="str">
        <f t="shared" si="4"/>
        <v>C</v>
      </c>
      <c r="G292" s="59"/>
    </row>
    <row r="293" spans="1:7" x14ac:dyDescent="0.2">
      <c r="A293" s="70" t="s">
        <v>889</v>
      </c>
      <c r="B293" s="64" t="s">
        <v>381</v>
      </c>
      <c r="C293" s="61" t="s">
        <v>382</v>
      </c>
      <c r="D293" s="60">
        <v>21995</v>
      </c>
      <c r="E293" s="74" t="str">
        <f t="shared" si="4"/>
        <v>C</v>
      </c>
      <c r="G293" s="59"/>
    </row>
    <row r="294" spans="1:7" x14ac:dyDescent="0.2">
      <c r="A294" s="70" t="s">
        <v>890</v>
      </c>
      <c r="B294" s="64" t="s">
        <v>383</v>
      </c>
      <c r="C294" s="61" t="s">
        <v>384</v>
      </c>
      <c r="D294" s="60">
        <v>21995</v>
      </c>
      <c r="E294" s="74" t="str">
        <f t="shared" si="4"/>
        <v>C</v>
      </c>
      <c r="G294" s="59"/>
    </row>
    <row r="295" spans="1:7" x14ac:dyDescent="0.2">
      <c r="A295" s="70" t="s">
        <v>891</v>
      </c>
      <c r="B295" s="64" t="s">
        <v>385</v>
      </c>
      <c r="C295" s="61" t="s">
        <v>386</v>
      </c>
      <c r="D295" s="60">
        <v>21995</v>
      </c>
      <c r="E295" s="74" t="str">
        <f t="shared" si="4"/>
        <v>C</v>
      </c>
      <c r="G295" s="59"/>
    </row>
    <row r="296" spans="1:7" x14ac:dyDescent="0.2">
      <c r="A296" s="70" t="s">
        <v>892</v>
      </c>
      <c r="B296" s="64" t="s">
        <v>387</v>
      </c>
      <c r="C296" s="61" t="s">
        <v>388</v>
      </c>
      <c r="D296" s="60">
        <v>21995</v>
      </c>
      <c r="E296" s="74" t="str">
        <f t="shared" si="4"/>
        <v>C</v>
      </c>
      <c r="G296" s="59"/>
    </row>
    <row r="297" spans="1:7" x14ac:dyDescent="0.2">
      <c r="A297" s="70" t="s">
        <v>893</v>
      </c>
      <c r="B297" s="64" t="s">
        <v>389</v>
      </c>
      <c r="C297" s="61" t="s">
        <v>390</v>
      </c>
      <c r="D297" s="60">
        <v>21995</v>
      </c>
      <c r="E297" s="74" t="str">
        <f t="shared" si="4"/>
        <v>C</v>
      </c>
      <c r="G297" s="59"/>
    </row>
    <row r="298" spans="1:7" x14ac:dyDescent="0.2">
      <c r="A298" s="70" t="s">
        <v>894</v>
      </c>
      <c r="B298" s="64" t="s">
        <v>391</v>
      </c>
      <c r="C298" s="61" t="s">
        <v>392</v>
      </c>
      <c r="D298" s="60">
        <v>21995</v>
      </c>
      <c r="E298" s="74" t="str">
        <f t="shared" si="4"/>
        <v>C</v>
      </c>
      <c r="G298" s="59"/>
    </row>
    <row r="299" spans="1:7" x14ac:dyDescent="0.2">
      <c r="A299" s="70" t="s">
        <v>895</v>
      </c>
      <c r="B299" s="64" t="s">
        <v>393</v>
      </c>
      <c r="C299" s="61" t="s">
        <v>394</v>
      </c>
      <c r="D299" s="60">
        <v>21995</v>
      </c>
      <c r="E299" s="74" t="str">
        <f t="shared" si="4"/>
        <v>C</v>
      </c>
      <c r="G299" s="59"/>
    </row>
    <row r="300" spans="1:7" x14ac:dyDescent="0.2">
      <c r="A300" s="70" t="s">
        <v>896</v>
      </c>
      <c r="B300" s="64" t="s">
        <v>395</v>
      </c>
      <c r="C300" s="61" t="s">
        <v>396</v>
      </c>
      <c r="D300" s="60">
        <v>21995</v>
      </c>
      <c r="E300" s="74" t="str">
        <f t="shared" si="4"/>
        <v>C</v>
      </c>
      <c r="G300" s="59"/>
    </row>
    <row r="301" spans="1:7" x14ac:dyDescent="0.2">
      <c r="A301" s="70" t="s">
        <v>897</v>
      </c>
      <c r="B301" s="64" t="s">
        <v>397</v>
      </c>
      <c r="C301" s="61" t="s">
        <v>398</v>
      </c>
      <c r="D301" s="60">
        <v>21995</v>
      </c>
      <c r="E301" s="74" t="str">
        <f t="shared" si="4"/>
        <v>C</v>
      </c>
      <c r="G301" s="59"/>
    </row>
    <row r="302" spans="1:7" x14ac:dyDescent="0.2">
      <c r="A302" s="70" t="s">
        <v>898</v>
      </c>
      <c r="B302" s="64" t="s">
        <v>399</v>
      </c>
      <c r="C302" s="61" t="s">
        <v>400</v>
      </c>
      <c r="D302" s="60">
        <v>21995</v>
      </c>
      <c r="E302" s="74" t="str">
        <f t="shared" si="4"/>
        <v>C</v>
      </c>
      <c r="G302" s="59"/>
    </row>
    <row r="303" spans="1:7" x14ac:dyDescent="0.2">
      <c r="A303" s="70" t="s">
        <v>899</v>
      </c>
      <c r="B303" s="64" t="s">
        <v>401</v>
      </c>
      <c r="C303" s="61" t="s">
        <v>402</v>
      </c>
      <c r="D303" s="60">
        <v>21995</v>
      </c>
      <c r="E303" s="74" t="str">
        <f t="shared" si="4"/>
        <v>C</v>
      </c>
      <c r="G303" s="59"/>
    </row>
    <row r="304" spans="1:7" x14ac:dyDescent="0.2">
      <c r="A304" s="70" t="s">
        <v>900</v>
      </c>
      <c r="B304" s="64" t="s">
        <v>403</v>
      </c>
      <c r="C304" s="61" t="s">
        <v>404</v>
      </c>
      <c r="D304" s="60">
        <v>21995</v>
      </c>
      <c r="E304" s="74" t="str">
        <f t="shared" si="4"/>
        <v>C</v>
      </c>
      <c r="G304" s="59"/>
    </row>
    <row r="305" spans="1:7" x14ac:dyDescent="0.2">
      <c r="A305" s="70" t="s">
        <v>901</v>
      </c>
      <c r="B305" s="64" t="s">
        <v>405</v>
      </c>
      <c r="C305" s="61" t="s">
        <v>406</v>
      </c>
      <c r="D305" s="60">
        <v>21995</v>
      </c>
      <c r="E305" s="74" t="str">
        <f t="shared" si="4"/>
        <v>C</v>
      </c>
      <c r="G305" s="59"/>
    </row>
    <row r="306" spans="1:7" x14ac:dyDescent="0.2">
      <c r="A306" s="70" t="s">
        <v>902</v>
      </c>
      <c r="B306" s="64" t="s">
        <v>407</v>
      </c>
      <c r="C306" s="61" t="s">
        <v>408</v>
      </c>
      <c r="D306" s="60">
        <v>21995</v>
      </c>
      <c r="E306" s="74" t="str">
        <f t="shared" si="4"/>
        <v>C</v>
      </c>
      <c r="G306" s="59"/>
    </row>
    <row r="307" spans="1:7" x14ac:dyDescent="0.2">
      <c r="A307" s="70" t="s">
        <v>903</v>
      </c>
      <c r="B307" s="64" t="s">
        <v>409</v>
      </c>
      <c r="C307" s="61" t="s">
        <v>410</v>
      </c>
      <c r="D307" s="60">
        <v>21995</v>
      </c>
      <c r="E307" s="74" t="str">
        <f t="shared" si="4"/>
        <v>C</v>
      </c>
      <c r="G307" s="59"/>
    </row>
    <row r="308" spans="1:7" x14ac:dyDescent="0.2">
      <c r="A308" s="70" t="s">
        <v>904</v>
      </c>
      <c r="B308" s="64" t="s">
        <v>411</v>
      </c>
      <c r="C308" s="61" t="s">
        <v>412</v>
      </c>
      <c r="D308" s="60">
        <v>21995</v>
      </c>
      <c r="E308" s="74" t="str">
        <f t="shared" si="4"/>
        <v>C</v>
      </c>
      <c r="G308" s="59"/>
    </row>
    <row r="309" spans="1:7" x14ac:dyDescent="0.2">
      <c r="A309" s="70" t="s">
        <v>905</v>
      </c>
      <c r="B309" s="64" t="s">
        <v>413</v>
      </c>
      <c r="C309" s="61" t="s">
        <v>414</v>
      </c>
      <c r="D309" s="60">
        <v>21995</v>
      </c>
      <c r="E309" s="74" t="str">
        <f t="shared" si="4"/>
        <v>C</v>
      </c>
      <c r="G309" s="59"/>
    </row>
    <row r="310" spans="1:7" x14ac:dyDescent="0.2">
      <c r="A310" s="70" t="s">
        <v>906</v>
      </c>
      <c r="B310" s="64" t="s">
        <v>415</v>
      </c>
      <c r="C310" s="61" t="s">
        <v>416</v>
      </c>
      <c r="D310" s="60">
        <v>21995</v>
      </c>
      <c r="E310" s="74" t="str">
        <f t="shared" si="4"/>
        <v>C</v>
      </c>
      <c r="G310" s="59"/>
    </row>
    <row r="311" spans="1:7" x14ac:dyDescent="0.2">
      <c r="A311" s="70" t="s">
        <v>907</v>
      </c>
      <c r="B311" s="64" t="s">
        <v>417</v>
      </c>
      <c r="C311" s="61" t="s">
        <v>418</v>
      </c>
      <c r="D311" s="60">
        <v>21995</v>
      </c>
      <c r="E311" s="74" t="str">
        <f t="shared" si="4"/>
        <v>C</v>
      </c>
      <c r="G311" s="59"/>
    </row>
    <row r="312" spans="1:7" x14ac:dyDescent="0.2">
      <c r="A312" s="70" t="s">
        <v>908</v>
      </c>
      <c r="B312" s="64" t="s">
        <v>419</v>
      </c>
      <c r="C312" s="61" t="s">
        <v>420</v>
      </c>
      <c r="D312" s="60">
        <v>21995</v>
      </c>
      <c r="E312" s="74" t="str">
        <f t="shared" si="4"/>
        <v>C</v>
      </c>
      <c r="G312" s="59"/>
    </row>
    <row r="313" spans="1:7" x14ac:dyDescent="0.2">
      <c r="A313" s="70" t="s">
        <v>909</v>
      </c>
      <c r="B313" s="64" t="s">
        <v>421</v>
      </c>
      <c r="C313" s="61" t="s">
        <v>422</v>
      </c>
      <c r="D313" s="60">
        <v>21995</v>
      </c>
      <c r="E313" s="74" t="str">
        <f t="shared" si="4"/>
        <v>C</v>
      </c>
      <c r="G313" s="59"/>
    </row>
    <row r="314" spans="1:7" x14ac:dyDescent="0.2">
      <c r="A314" s="70" t="s">
        <v>910</v>
      </c>
      <c r="B314" s="64" t="s">
        <v>423</v>
      </c>
      <c r="C314" s="61" t="s">
        <v>424</v>
      </c>
      <c r="D314" s="60">
        <v>21995</v>
      </c>
      <c r="E314" s="74" t="str">
        <f t="shared" si="4"/>
        <v>C</v>
      </c>
      <c r="G314" s="59"/>
    </row>
    <row r="315" spans="1:7" x14ac:dyDescent="0.2">
      <c r="A315" s="70" t="s">
        <v>911</v>
      </c>
      <c r="B315" s="64" t="s">
        <v>425</v>
      </c>
      <c r="C315" s="61" t="s">
        <v>426</v>
      </c>
      <c r="D315" s="60">
        <v>21995</v>
      </c>
      <c r="E315" s="74" t="str">
        <f t="shared" si="4"/>
        <v>C</v>
      </c>
      <c r="G315" s="59"/>
    </row>
    <row r="316" spans="1:7" x14ac:dyDescent="0.2">
      <c r="A316" s="70" t="s">
        <v>912</v>
      </c>
      <c r="B316" s="64" t="s">
        <v>427</v>
      </c>
      <c r="C316" s="61" t="s">
        <v>428</v>
      </c>
      <c r="D316" s="60">
        <v>21995</v>
      </c>
      <c r="E316" s="74" t="str">
        <f t="shared" si="4"/>
        <v>C</v>
      </c>
      <c r="G316" s="59"/>
    </row>
    <row r="317" spans="1:7" x14ac:dyDescent="0.2">
      <c r="A317" s="70" t="s">
        <v>913</v>
      </c>
      <c r="B317" s="64" t="s">
        <v>429</v>
      </c>
      <c r="C317" s="61" t="s">
        <v>430</v>
      </c>
      <c r="D317" s="60">
        <v>21995</v>
      </c>
      <c r="E317" s="74" t="str">
        <f t="shared" si="4"/>
        <v>C</v>
      </c>
      <c r="G317" s="59"/>
    </row>
    <row r="318" spans="1:7" x14ac:dyDescent="0.2">
      <c r="A318" s="70" t="s">
        <v>914</v>
      </c>
      <c r="B318" s="64" t="s">
        <v>431</v>
      </c>
      <c r="C318" s="61" t="s">
        <v>432</v>
      </c>
      <c r="D318" s="60">
        <v>21995</v>
      </c>
      <c r="E318" s="74" t="str">
        <f t="shared" si="4"/>
        <v>C</v>
      </c>
      <c r="G318" s="59"/>
    </row>
    <row r="319" spans="1:7" x14ac:dyDescent="0.2">
      <c r="A319" s="70" t="s">
        <v>915</v>
      </c>
      <c r="B319" s="64" t="s">
        <v>433</v>
      </c>
      <c r="C319" s="61" t="s">
        <v>434</v>
      </c>
      <c r="D319" s="60">
        <v>21995</v>
      </c>
      <c r="E319" s="74" t="str">
        <f t="shared" si="4"/>
        <v>C</v>
      </c>
      <c r="G319" s="59"/>
    </row>
    <row r="320" spans="1:7" x14ac:dyDescent="0.2">
      <c r="A320" s="70" t="s">
        <v>916</v>
      </c>
      <c r="B320" s="64" t="s">
        <v>435</v>
      </c>
      <c r="C320" s="61" t="s">
        <v>436</v>
      </c>
      <c r="D320" s="60">
        <v>21995</v>
      </c>
      <c r="E320" s="74" t="str">
        <f t="shared" si="4"/>
        <v>C</v>
      </c>
      <c r="G320" s="59"/>
    </row>
    <row r="321" spans="1:7" x14ac:dyDescent="0.2">
      <c r="A321" s="70" t="s">
        <v>917</v>
      </c>
      <c r="B321" s="64" t="s">
        <v>437</v>
      </c>
      <c r="C321" s="61" t="s">
        <v>438</v>
      </c>
      <c r="D321" s="60">
        <v>21995</v>
      </c>
      <c r="E321" s="74" t="str">
        <f t="shared" si="4"/>
        <v>C</v>
      </c>
      <c r="G321" s="59"/>
    </row>
    <row r="322" spans="1:7" x14ac:dyDescent="0.2">
      <c r="A322" s="70" t="s">
        <v>918</v>
      </c>
      <c r="B322" s="64" t="s">
        <v>439</v>
      </c>
      <c r="C322" s="61" t="s">
        <v>440</v>
      </c>
      <c r="D322" s="60">
        <v>21995</v>
      </c>
      <c r="E322" s="74" t="str">
        <f t="shared" si="4"/>
        <v>C</v>
      </c>
      <c r="G322" s="59"/>
    </row>
    <row r="323" spans="1:7" x14ac:dyDescent="0.2">
      <c r="A323" s="70" t="s">
        <v>919</v>
      </c>
      <c r="B323" s="64" t="s">
        <v>441</v>
      </c>
      <c r="C323" s="61" t="s">
        <v>442</v>
      </c>
      <c r="D323" s="60">
        <v>21995</v>
      </c>
      <c r="E323" s="74" t="str">
        <f t="shared" si="4"/>
        <v>C</v>
      </c>
      <c r="G323" s="59"/>
    </row>
    <row r="324" spans="1:7" x14ac:dyDescent="0.2">
      <c r="A324" s="70" t="s">
        <v>920</v>
      </c>
      <c r="B324" s="64" t="s">
        <v>443</v>
      </c>
      <c r="C324" s="61" t="s">
        <v>444</v>
      </c>
      <c r="D324" s="60">
        <v>21995</v>
      </c>
      <c r="E324" s="74" t="str">
        <f t="shared" si="4"/>
        <v>C</v>
      </c>
      <c r="G324" s="59"/>
    </row>
    <row r="325" spans="1:7" x14ac:dyDescent="0.2">
      <c r="A325" s="70" t="s">
        <v>921</v>
      </c>
      <c r="B325" s="64" t="s">
        <v>445</v>
      </c>
      <c r="C325" s="61" t="s">
        <v>446</v>
      </c>
      <c r="D325" s="60">
        <v>21995</v>
      </c>
      <c r="E325" s="74" t="str">
        <f t="shared" ref="E325:E388" si="5">VLOOKUP(D325,$G$4:$H$7,2)</f>
        <v>C</v>
      </c>
      <c r="G325" s="59"/>
    </row>
    <row r="326" spans="1:7" x14ac:dyDescent="0.2">
      <c r="A326" s="70" t="s">
        <v>922</v>
      </c>
      <c r="B326" s="64" t="s">
        <v>447</v>
      </c>
      <c r="C326" s="61" t="s">
        <v>448</v>
      </c>
      <c r="D326" s="60">
        <v>21995</v>
      </c>
      <c r="E326" s="74" t="str">
        <f t="shared" si="5"/>
        <v>C</v>
      </c>
      <c r="G326" s="59"/>
    </row>
    <row r="327" spans="1:7" x14ac:dyDescent="0.2">
      <c r="A327" s="70" t="s">
        <v>923</v>
      </c>
      <c r="B327" s="64" t="s">
        <v>449</v>
      </c>
      <c r="C327" s="61" t="s">
        <v>450</v>
      </c>
      <c r="D327" s="60">
        <v>21995</v>
      </c>
      <c r="E327" s="74" t="str">
        <f t="shared" si="5"/>
        <v>C</v>
      </c>
      <c r="G327" s="59"/>
    </row>
    <row r="328" spans="1:7" x14ac:dyDescent="0.2">
      <c r="A328" s="67" t="s">
        <v>924</v>
      </c>
      <c r="B328" s="49" t="s">
        <v>546</v>
      </c>
      <c r="C328" s="49" t="s">
        <v>547</v>
      </c>
      <c r="D328" s="57">
        <v>1095</v>
      </c>
      <c r="E328" s="74" t="str">
        <f t="shared" si="5"/>
        <v>B</v>
      </c>
      <c r="G328" s="59"/>
    </row>
    <row r="329" spans="1:7" x14ac:dyDescent="0.2">
      <c r="A329" s="67" t="s">
        <v>925</v>
      </c>
      <c r="B329" s="49" t="s">
        <v>544</v>
      </c>
      <c r="C329" s="49" t="s">
        <v>545</v>
      </c>
      <c r="D329" s="57">
        <v>490</v>
      </c>
      <c r="E329" s="74" t="str">
        <f t="shared" si="5"/>
        <v>A</v>
      </c>
      <c r="G329" s="59"/>
    </row>
    <row r="330" spans="1:7" x14ac:dyDescent="0.2">
      <c r="A330" s="67" t="s">
        <v>926</v>
      </c>
      <c r="B330" s="49" t="s">
        <v>359</v>
      </c>
      <c r="C330" s="49" t="s">
        <v>360</v>
      </c>
      <c r="D330" s="57">
        <v>325</v>
      </c>
      <c r="E330" s="74" t="str">
        <f t="shared" si="5"/>
        <v>A</v>
      </c>
      <c r="G330" s="59"/>
    </row>
    <row r="331" spans="1:7" x14ac:dyDescent="0.2">
      <c r="A331" s="67" t="s">
        <v>927</v>
      </c>
      <c r="B331" s="49" t="s">
        <v>548</v>
      </c>
      <c r="C331" s="49" t="s">
        <v>549</v>
      </c>
      <c r="D331" s="57">
        <v>4395</v>
      </c>
      <c r="E331" s="74" t="str">
        <f t="shared" si="5"/>
        <v>B</v>
      </c>
      <c r="G331" s="59"/>
    </row>
    <row r="332" spans="1:7" x14ac:dyDescent="0.2">
      <c r="A332" s="67" t="s">
        <v>928</v>
      </c>
      <c r="B332" s="49" t="s">
        <v>588</v>
      </c>
      <c r="C332" s="49" t="s">
        <v>589</v>
      </c>
      <c r="D332" s="57">
        <v>5495</v>
      </c>
      <c r="E332" s="74" t="str">
        <f t="shared" si="5"/>
        <v>B</v>
      </c>
      <c r="G332" s="59"/>
    </row>
    <row r="333" spans="1:7" x14ac:dyDescent="0.2">
      <c r="A333" s="67" t="s">
        <v>929</v>
      </c>
      <c r="B333" s="49" t="s">
        <v>1851</v>
      </c>
      <c r="C333" s="49" t="s">
        <v>550</v>
      </c>
      <c r="D333" s="57">
        <v>5495</v>
      </c>
      <c r="E333" s="74" t="str">
        <f t="shared" si="5"/>
        <v>B</v>
      </c>
      <c r="G333" s="59"/>
    </row>
    <row r="334" spans="1:7" x14ac:dyDescent="0.2">
      <c r="A334" s="67" t="s">
        <v>930</v>
      </c>
      <c r="B334" s="49" t="s">
        <v>1852</v>
      </c>
      <c r="C334" s="49" t="s">
        <v>551</v>
      </c>
      <c r="D334" s="57">
        <v>5495</v>
      </c>
      <c r="E334" s="74" t="str">
        <f t="shared" si="5"/>
        <v>B</v>
      </c>
      <c r="G334" s="59"/>
    </row>
    <row r="335" spans="1:7" x14ac:dyDescent="0.2">
      <c r="A335" s="67" t="s">
        <v>931</v>
      </c>
      <c r="B335" s="49" t="s">
        <v>1853</v>
      </c>
      <c r="C335" s="49" t="s">
        <v>552</v>
      </c>
      <c r="D335" s="57">
        <v>5495</v>
      </c>
      <c r="E335" s="74" t="str">
        <f t="shared" si="5"/>
        <v>B</v>
      </c>
      <c r="G335" s="59"/>
    </row>
    <row r="336" spans="1:7" x14ac:dyDescent="0.2">
      <c r="A336" s="67" t="s">
        <v>932</v>
      </c>
      <c r="B336" s="49" t="s">
        <v>1854</v>
      </c>
      <c r="C336" s="49" t="s">
        <v>553</v>
      </c>
      <c r="D336" s="57">
        <v>5495</v>
      </c>
      <c r="E336" s="74" t="str">
        <f t="shared" si="5"/>
        <v>B</v>
      </c>
      <c r="G336" s="59"/>
    </row>
    <row r="337" spans="1:7" x14ac:dyDescent="0.2">
      <c r="A337" s="67" t="s">
        <v>933</v>
      </c>
      <c r="B337" s="49" t="s">
        <v>1855</v>
      </c>
      <c r="C337" s="49" t="s">
        <v>554</v>
      </c>
      <c r="D337" s="57">
        <v>5495</v>
      </c>
      <c r="E337" s="74" t="str">
        <f t="shared" si="5"/>
        <v>B</v>
      </c>
      <c r="G337" s="59"/>
    </row>
    <row r="338" spans="1:7" x14ac:dyDescent="0.2">
      <c r="A338" s="67" t="s">
        <v>934</v>
      </c>
      <c r="B338" s="49" t="s">
        <v>1856</v>
      </c>
      <c r="C338" s="49" t="s">
        <v>555</v>
      </c>
      <c r="D338" s="57">
        <v>5495</v>
      </c>
      <c r="E338" s="74" t="str">
        <f t="shared" si="5"/>
        <v>B</v>
      </c>
      <c r="G338" s="59"/>
    </row>
    <row r="339" spans="1:7" x14ac:dyDescent="0.2">
      <c r="A339" s="67" t="s">
        <v>935</v>
      </c>
      <c r="B339" s="49" t="s">
        <v>1857</v>
      </c>
      <c r="C339" s="49" t="s">
        <v>556</v>
      </c>
      <c r="D339" s="57">
        <v>5495</v>
      </c>
      <c r="E339" s="74" t="str">
        <f t="shared" si="5"/>
        <v>B</v>
      </c>
      <c r="G339" s="59"/>
    </row>
    <row r="340" spans="1:7" x14ac:dyDescent="0.2">
      <c r="A340" s="67" t="s">
        <v>936</v>
      </c>
      <c r="B340" s="49" t="s">
        <v>1858</v>
      </c>
      <c r="C340" s="49" t="s">
        <v>557</v>
      </c>
      <c r="D340" s="57">
        <v>5495</v>
      </c>
      <c r="E340" s="74" t="str">
        <f t="shared" si="5"/>
        <v>B</v>
      </c>
      <c r="G340" s="59"/>
    </row>
    <row r="341" spans="1:7" x14ac:dyDescent="0.2">
      <c r="A341" s="67" t="s">
        <v>937</v>
      </c>
      <c r="B341" s="49" t="s">
        <v>363</v>
      </c>
      <c r="C341" s="49" t="s">
        <v>364</v>
      </c>
      <c r="D341" s="57">
        <v>1315</v>
      </c>
      <c r="E341" s="74" t="str">
        <f t="shared" si="5"/>
        <v>B</v>
      </c>
      <c r="G341" s="59"/>
    </row>
    <row r="342" spans="1:7" x14ac:dyDescent="0.2">
      <c r="A342" s="67" t="s">
        <v>938</v>
      </c>
      <c r="B342" s="49" t="s">
        <v>365</v>
      </c>
      <c r="C342" s="49" t="s">
        <v>366</v>
      </c>
      <c r="D342" s="57">
        <v>1315</v>
      </c>
      <c r="E342" s="74" t="str">
        <f t="shared" si="5"/>
        <v>B</v>
      </c>
      <c r="G342" s="59"/>
    </row>
    <row r="343" spans="1:7" x14ac:dyDescent="0.2">
      <c r="A343" s="67" t="s">
        <v>939</v>
      </c>
      <c r="B343" s="49" t="s">
        <v>355</v>
      </c>
      <c r="C343" s="49" t="s">
        <v>356</v>
      </c>
      <c r="D343" s="57">
        <v>435</v>
      </c>
      <c r="E343" s="74" t="str">
        <f t="shared" si="5"/>
        <v>A</v>
      </c>
      <c r="G343" s="59"/>
    </row>
    <row r="344" spans="1:7" x14ac:dyDescent="0.2">
      <c r="A344" s="67" t="s">
        <v>940</v>
      </c>
      <c r="B344" s="49" t="s">
        <v>357</v>
      </c>
      <c r="C344" s="49" t="s">
        <v>358</v>
      </c>
      <c r="D344" s="57">
        <v>435</v>
      </c>
      <c r="E344" s="74" t="str">
        <f t="shared" si="5"/>
        <v>A</v>
      </c>
      <c r="G344" s="59"/>
    </row>
    <row r="345" spans="1:7" x14ac:dyDescent="0.2">
      <c r="A345" s="67" t="s">
        <v>941</v>
      </c>
      <c r="B345" s="49" t="s">
        <v>351</v>
      </c>
      <c r="C345" s="49" t="s">
        <v>352</v>
      </c>
      <c r="D345" s="57">
        <v>185</v>
      </c>
      <c r="E345" s="74" t="str">
        <f t="shared" si="5"/>
        <v>A</v>
      </c>
      <c r="G345" s="59"/>
    </row>
    <row r="346" spans="1:7" x14ac:dyDescent="0.2">
      <c r="A346" s="67" t="s">
        <v>942</v>
      </c>
      <c r="B346" s="49" t="s">
        <v>361</v>
      </c>
      <c r="C346" s="49" t="s">
        <v>362</v>
      </c>
      <c r="D346" s="57">
        <v>655</v>
      </c>
      <c r="E346" s="74" t="str">
        <f t="shared" si="5"/>
        <v>A</v>
      </c>
      <c r="G346" s="59"/>
    </row>
    <row r="347" spans="1:7" x14ac:dyDescent="0.2">
      <c r="A347" s="68" t="s">
        <v>943</v>
      </c>
      <c r="B347" s="39" t="s">
        <v>500</v>
      </c>
      <c r="C347" s="39" t="s">
        <v>353</v>
      </c>
      <c r="D347" s="38">
        <v>325</v>
      </c>
      <c r="E347" s="74" t="str">
        <f t="shared" si="5"/>
        <v>A</v>
      </c>
      <c r="G347" s="59"/>
    </row>
    <row r="348" spans="1:7" x14ac:dyDescent="0.2">
      <c r="A348" s="68" t="s">
        <v>944</v>
      </c>
      <c r="B348" s="39" t="s">
        <v>501</v>
      </c>
      <c r="C348" s="39" t="s">
        <v>354</v>
      </c>
      <c r="D348" s="38">
        <v>435</v>
      </c>
      <c r="E348" s="74" t="str">
        <f t="shared" si="5"/>
        <v>A</v>
      </c>
      <c r="G348" s="59"/>
    </row>
    <row r="349" spans="1:7" x14ac:dyDescent="0.2">
      <c r="A349" s="67" t="s">
        <v>945</v>
      </c>
      <c r="B349" s="49" t="s">
        <v>2249</v>
      </c>
      <c r="C349" s="49" t="s">
        <v>480</v>
      </c>
      <c r="D349" s="57">
        <v>4395</v>
      </c>
      <c r="E349" s="74" t="str">
        <f t="shared" si="5"/>
        <v>B</v>
      </c>
      <c r="G349" s="59"/>
    </row>
    <row r="350" spans="1:7" x14ac:dyDescent="0.2">
      <c r="A350" s="67" t="s">
        <v>946</v>
      </c>
      <c r="B350" s="49" t="s">
        <v>2250</v>
      </c>
      <c r="C350" s="49" t="s">
        <v>481</v>
      </c>
      <c r="D350" s="57">
        <v>4725</v>
      </c>
      <c r="E350" s="74" t="str">
        <f t="shared" si="5"/>
        <v>B</v>
      </c>
      <c r="G350" s="59"/>
    </row>
    <row r="351" spans="1:7" x14ac:dyDescent="0.2">
      <c r="A351" s="67" t="s">
        <v>947</v>
      </c>
      <c r="B351" s="49" t="s">
        <v>2251</v>
      </c>
      <c r="C351" s="49" t="s">
        <v>482</v>
      </c>
      <c r="D351" s="57">
        <v>7145</v>
      </c>
      <c r="E351" s="74" t="str">
        <f t="shared" si="5"/>
        <v>B</v>
      </c>
      <c r="G351" s="59"/>
    </row>
    <row r="352" spans="1:7" x14ac:dyDescent="0.2">
      <c r="A352" s="67" t="s">
        <v>948</v>
      </c>
      <c r="B352" s="49" t="s">
        <v>2252</v>
      </c>
      <c r="C352" s="49" t="s">
        <v>483</v>
      </c>
      <c r="D352" s="57">
        <v>7475</v>
      </c>
      <c r="E352" s="74" t="str">
        <f t="shared" si="5"/>
        <v>B</v>
      </c>
      <c r="G352" s="59"/>
    </row>
    <row r="353" spans="1:7" x14ac:dyDescent="0.2">
      <c r="A353" s="67" t="s">
        <v>949</v>
      </c>
      <c r="B353" s="49" t="s">
        <v>2253</v>
      </c>
      <c r="C353" s="49" t="s">
        <v>484</v>
      </c>
      <c r="D353" s="57">
        <v>8795</v>
      </c>
      <c r="E353" s="74" t="str">
        <f t="shared" si="5"/>
        <v>B</v>
      </c>
      <c r="G353" s="59"/>
    </row>
    <row r="354" spans="1:7" x14ac:dyDescent="0.2">
      <c r="A354" s="67" t="s">
        <v>950</v>
      </c>
      <c r="B354" s="49" t="s">
        <v>2254</v>
      </c>
      <c r="C354" s="49" t="s">
        <v>485</v>
      </c>
      <c r="D354" s="57">
        <v>9125</v>
      </c>
      <c r="E354" s="74" t="str">
        <f t="shared" si="5"/>
        <v>B</v>
      </c>
      <c r="G354" s="59"/>
    </row>
    <row r="355" spans="1:7" x14ac:dyDescent="0.2">
      <c r="A355" s="67" t="s">
        <v>951</v>
      </c>
      <c r="B355" s="49" t="s">
        <v>2255</v>
      </c>
      <c r="C355" s="49" t="s">
        <v>486</v>
      </c>
      <c r="D355" s="57">
        <v>6595</v>
      </c>
      <c r="E355" s="74" t="str">
        <f t="shared" si="5"/>
        <v>B</v>
      </c>
      <c r="G355" s="59"/>
    </row>
    <row r="356" spans="1:7" x14ac:dyDescent="0.2">
      <c r="A356" s="67" t="s">
        <v>952</v>
      </c>
      <c r="B356" s="49" t="s">
        <v>2256</v>
      </c>
      <c r="C356" s="49" t="s">
        <v>487</v>
      </c>
      <c r="D356" s="57">
        <v>6924</v>
      </c>
      <c r="E356" s="74" t="str">
        <f t="shared" si="5"/>
        <v>B</v>
      </c>
      <c r="G356" s="59"/>
    </row>
    <row r="357" spans="1:7" x14ac:dyDescent="0.2">
      <c r="A357" s="67" t="s">
        <v>953</v>
      </c>
      <c r="B357" s="49" t="s">
        <v>2257</v>
      </c>
      <c r="C357" s="49" t="s">
        <v>488</v>
      </c>
      <c r="D357" s="57">
        <v>9345</v>
      </c>
      <c r="E357" s="74" t="str">
        <f t="shared" si="5"/>
        <v>B</v>
      </c>
      <c r="G357" s="59"/>
    </row>
    <row r="358" spans="1:7" x14ac:dyDescent="0.2">
      <c r="A358" s="67" t="s">
        <v>954</v>
      </c>
      <c r="B358" s="49" t="s">
        <v>2258</v>
      </c>
      <c r="C358" s="49" t="s">
        <v>489</v>
      </c>
      <c r="D358" s="57">
        <v>9675</v>
      </c>
      <c r="E358" s="74" t="str">
        <f t="shared" si="5"/>
        <v>B</v>
      </c>
      <c r="G358" s="59"/>
    </row>
    <row r="359" spans="1:7" x14ac:dyDescent="0.2">
      <c r="A359" s="67" t="s">
        <v>955</v>
      </c>
      <c r="B359" s="49" t="s">
        <v>2259</v>
      </c>
      <c r="C359" s="49" t="s">
        <v>490</v>
      </c>
      <c r="D359" s="57">
        <v>10995</v>
      </c>
      <c r="E359" s="74" t="str">
        <f t="shared" si="5"/>
        <v>C</v>
      </c>
      <c r="G359" s="59"/>
    </row>
    <row r="360" spans="1:7" x14ac:dyDescent="0.2">
      <c r="A360" s="67" t="s">
        <v>956</v>
      </c>
      <c r="B360" s="49" t="s">
        <v>2260</v>
      </c>
      <c r="C360" s="49" t="s">
        <v>491</v>
      </c>
      <c r="D360" s="57">
        <v>11325</v>
      </c>
      <c r="E360" s="74" t="str">
        <f t="shared" si="5"/>
        <v>C</v>
      </c>
      <c r="G360" s="59"/>
    </row>
    <row r="361" spans="1:7" x14ac:dyDescent="0.2">
      <c r="A361" s="67" t="s">
        <v>957</v>
      </c>
      <c r="B361" s="49" t="s">
        <v>468</v>
      </c>
      <c r="C361" s="49" t="s">
        <v>469</v>
      </c>
      <c r="D361" s="57">
        <v>2745</v>
      </c>
      <c r="E361" s="74" t="str">
        <f t="shared" si="5"/>
        <v>B</v>
      </c>
      <c r="G361" s="59"/>
    </row>
    <row r="362" spans="1:7" x14ac:dyDescent="0.2">
      <c r="A362" s="67" t="s">
        <v>958</v>
      </c>
      <c r="B362" s="49" t="s">
        <v>470</v>
      </c>
      <c r="C362" s="49" t="s">
        <v>451</v>
      </c>
      <c r="D362" s="57">
        <v>4395</v>
      </c>
      <c r="E362" s="74" t="str">
        <f t="shared" si="5"/>
        <v>B</v>
      </c>
      <c r="G362" s="59"/>
    </row>
    <row r="363" spans="1:7" x14ac:dyDescent="0.2">
      <c r="A363" s="67" t="s">
        <v>959</v>
      </c>
      <c r="B363" s="49" t="s">
        <v>492</v>
      </c>
      <c r="C363" s="49" t="s">
        <v>473</v>
      </c>
      <c r="D363" s="57">
        <v>1095</v>
      </c>
      <c r="E363" s="74" t="str">
        <f t="shared" si="5"/>
        <v>B</v>
      </c>
      <c r="G363" s="59"/>
    </row>
    <row r="364" spans="1:7" x14ac:dyDescent="0.2">
      <c r="A364" s="67" t="s">
        <v>960</v>
      </c>
      <c r="B364" s="49" t="s">
        <v>493</v>
      </c>
      <c r="C364" s="49" t="s">
        <v>475</v>
      </c>
      <c r="D364" s="57">
        <v>1425</v>
      </c>
      <c r="E364" s="74" t="str">
        <f t="shared" si="5"/>
        <v>B</v>
      </c>
      <c r="G364" s="59"/>
    </row>
    <row r="365" spans="1:7" x14ac:dyDescent="0.2">
      <c r="A365" s="67" t="s">
        <v>961</v>
      </c>
      <c r="B365" s="49" t="s">
        <v>494</v>
      </c>
      <c r="C365" s="49" t="s">
        <v>478</v>
      </c>
      <c r="D365" s="57">
        <v>1645</v>
      </c>
      <c r="E365" s="74" t="str">
        <f t="shared" si="5"/>
        <v>B</v>
      </c>
      <c r="G365" s="59"/>
    </row>
    <row r="366" spans="1:7" x14ac:dyDescent="0.2">
      <c r="A366" s="67" t="s">
        <v>962</v>
      </c>
      <c r="B366" s="49" t="s">
        <v>171</v>
      </c>
      <c r="C366" s="49" t="s">
        <v>172</v>
      </c>
      <c r="D366" s="57">
        <v>1975</v>
      </c>
      <c r="E366" s="74" t="str">
        <f t="shared" si="5"/>
        <v>B</v>
      </c>
      <c r="G366" s="59"/>
    </row>
    <row r="367" spans="1:7" x14ac:dyDescent="0.2">
      <c r="A367" s="69" t="s">
        <v>963</v>
      </c>
      <c r="B367" s="63" t="s">
        <v>2229</v>
      </c>
      <c r="C367" s="63" t="s">
        <v>2229</v>
      </c>
      <c r="D367" s="38">
        <v>55</v>
      </c>
      <c r="E367" s="74" t="str">
        <f t="shared" si="5"/>
        <v>A</v>
      </c>
      <c r="G367" s="59"/>
    </row>
    <row r="368" spans="1:7" x14ac:dyDescent="0.2">
      <c r="A368" s="68" t="s">
        <v>964</v>
      </c>
      <c r="B368" s="39" t="s">
        <v>471</v>
      </c>
      <c r="C368" s="39" t="s">
        <v>368</v>
      </c>
      <c r="D368" s="57">
        <v>1095</v>
      </c>
      <c r="E368" s="74" t="str">
        <f t="shared" si="5"/>
        <v>B</v>
      </c>
      <c r="G368" s="59"/>
    </row>
    <row r="369" spans="1:7" x14ac:dyDescent="0.2">
      <c r="A369" s="67" t="s">
        <v>965</v>
      </c>
      <c r="B369" s="49" t="s">
        <v>529</v>
      </c>
      <c r="C369" s="49" t="s">
        <v>530</v>
      </c>
      <c r="D369" s="57">
        <v>1370</v>
      </c>
      <c r="E369" s="74" t="str">
        <f t="shared" si="5"/>
        <v>B</v>
      </c>
      <c r="G369" s="59"/>
    </row>
    <row r="370" spans="1:7" x14ac:dyDescent="0.2">
      <c r="A370" s="67" t="s">
        <v>966</v>
      </c>
      <c r="B370" s="49" t="s">
        <v>531</v>
      </c>
      <c r="C370" s="49" t="s">
        <v>532</v>
      </c>
      <c r="D370" s="57">
        <v>2745</v>
      </c>
      <c r="E370" s="74" t="str">
        <f t="shared" si="5"/>
        <v>B</v>
      </c>
      <c r="G370" s="59"/>
    </row>
    <row r="371" spans="1:7" x14ac:dyDescent="0.2">
      <c r="A371" s="67" t="s">
        <v>967</v>
      </c>
      <c r="B371" s="49" t="s">
        <v>533</v>
      </c>
      <c r="C371" s="49" t="s">
        <v>534</v>
      </c>
      <c r="D371" s="57">
        <v>10995</v>
      </c>
      <c r="E371" s="74" t="str">
        <f t="shared" si="5"/>
        <v>C</v>
      </c>
      <c r="G371" s="59"/>
    </row>
    <row r="372" spans="1:7" x14ac:dyDescent="0.2">
      <c r="A372" s="67" t="s">
        <v>968</v>
      </c>
      <c r="B372" s="49" t="s">
        <v>369</v>
      </c>
      <c r="C372" s="49" t="s">
        <v>370</v>
      </c>
      <c r="D372" s="57">
        <v>17595</v>
      </c>
      <c r="E372" s="74" t="str">
        <f t="shared" si="5"/>
        <v>C</v>
      </c>
      <c r="G372" s="59"/>
    </row>
    <row r="373" spans="1:7" x14ac:dyDescent="0.2">
      <c r="A373" s="70" t="s">
        <v>969</v>
      </c>
      <c r="B373" s="64" t="s">
        <v>371</v>
      </c>
      <c r="C373" s="66" t="s">
        <v>372</v>
      </c>
      <c r="D373" s="60">
        <v>21995</v>
      </c>
      <c r="E373" s="74" t="str">
        <f t="shared" si="5"/>
        <v>C</v>
      </c>
      <c r="G373" s="59"/>
    </row>
    <row r="374" spans="1:7" x14ac:dyDescent="0.2">
      <c r="A374" s="70" t="s">
        <v>970</v>
      </c>
      <c r="B374" s="64" t="s">
        <v>373</v>
      </c>
      <c r="C374" s="61" t="s">
        <v>374</v>
      </c>
      <c r="D374" s="60">
        <v>21995</v>
      </c>
      <c r="E374" s="74" t="str">
        <f t="shared" si="5"/>
        <v>C</v>
      </c>
      <c r="G374" s="59"/>
    </row>
    <row r="375" spans="1:7" x14ac:dyDescent="0.2">
      <c r="A375" s="70" t="s">
        <v>971</v>
      </c>
      <c r="B375" s="64" t="s">
        <v>375</v>
      </c>
      <c r="C375" s="61" t="s">
        <v>376</v>
      </c>
      <c r="D375" s="60">
        <v>21995</v>
      </c>
      <c r="E375" s="74" t="str">
        <f t="shared" si="5"/>
        <v>C</v>
      </c>
      <c r="G375" s="59"/>
    </row>
    <row r="376" spans="1:7" x14ac:dyDescent="0.2">
      <c r="A376" s="70" t="s">
        <v>972</v>
      </c>
      <c r="B376" s="64" t="s">
        <v>377</v>
      </c>
      <c r="C376" s="61" t="s">
        <v>378</v>
      </c>
      <c r="D376" s="60">
        <v>21995</v>
      </c>
      <c r="E376" s="74" t="str">
        <f t="shared" si="5"/>
        <v>C</v>
      </c>
      <c r="G376" s="59"/>
    </row>
    <row r="377" spans="1:7" x14ac:dyDescent="0.2">
      <c r="A377" s="70" t="s">
        <v>973</v>
      </c>
      <c r="B377" s="64" t="s">
        <v>379</v>
      </c>
      <c r="C377" s="61" t="s">
        <v>380</v>
      </c>
      <c r="D377" s="60">
        <v>21995</v>
      </c>
      <c r="E377" s="74" t="str">
        <f t="shared" si="5"/>
        <v>C</v>
      </c>
      <c r="G377" s="59"/>
    </row>
    <row r="378" spans="1:7" x14ac:dyDescent="0.2">
      <c r="A378" s="70" t="s">
        <v>974</v>
      </c>
      <c r="B378" s="64" t="s">
        <v>381</v>
      </c>
      <c r="C378" s="61" t="s">
        <v>382</v>
      </c>
      <c r="D378" s="60">
        <v>21995</v>
      </c>
      <c r="E378" s="74" t="str">
        <f t="shared" si="5"/>
        <v>C</v>
      </c>
      <c r="G378" s="59"/>
    </row>
    <row r="379" spans="1:7" x14ac:dyDescent="0.2">
      <c r="A379" s="70" t="s">
        <v>975</v>
      </c>
      <c r="B379" s="64" t="s">
        <v>383</v>
      </c>
      <c r="C379" s="61" t="s">
        <v>384</v>
      </c>
      <c r="D379" s="60">
        <v>21995</v>
      </c>
      <c r="E379" s="74" t="str">
        <f t="shared" si="5"/>
        <v>C</v>
      </c>
      <c r="G379" s="59"/>
    </row>
    <row r="380" spans="1:7" x14ac:dyDescent="0.2">
      <c r="A380" s="70" t="s">
        <v>976</v>
      </c>
      <c r="B380" s="64" t="s">
        <v>385</v>
      </c>
      <c r="C380" s="61" t="s">
        <v>386</v>
      </c>
      <c r="D380" s="60">
        <v>21995</v>
      </c>
      <c r="E380" s="74" t="str">
        <f t="shared" si="5"/>
        <v>C</v>
      </c>
      <c r="G380" s="59"/>
    </row>
    <row r="381" spans="1:7" x14ac:dyDescent="0.2">
      <c r="A381" s="70" t="s">
        <v>977</v>
      </c>
      <c r="B381" s="64" t="s">
        <v>387</v>
      </c>
      <c r="C381" s="61" t="s">
        <v>388</v>
      </c>
      <c r="D381" s="60">
        <v>21995</v>
      </c>
      <c r="E381" s="74" t="str">
        <f t="shared" si="5"/>
        <v>C</v>
      </c>
      <c r="G381" s="59"/>
    </row>
    <row r="382" spans="1:7" x14ac:dyDescent="0.2">
      <c r="A382" s="70" t="s">
        <v>978</v>
      </c>
      <c r="B382" s="64" t="s">
        <v>389</v>
      </c>
      <c r="C382" s="61" t="s">
        <v>390</v>
      </c>
      <c r="D382" s="60">
        <v>21995</v>
      </c>
      <c r="E382" s="74" t="str">
        <f t="shared" si="5"/>
        <v>C</v>
      </c>
      <c r="G382" s="59"/>
    </row>
    <row r="383" spans="1:7" x14ac:dyDescent="0.2">
      <c r="A383" s="70" t="s">
        <v>979</v>
      </c>
      <c r="B383" s="64" t="s">
        <v>391</v>
      </c>
      <c r="C383" s="61" t="s">
        <v>392</v>
      </c>
      <c r="D383" s="60">
        <v>21995</v>
      </c>
      <c r="E383" s="74" t="str">
        <f t="shared" si="5"/>
        <v>C</v>
      </c>
      <c r="G383" s="59"/>
    </row>
    <row r="384" spans="1:7" x14ac:dyDescent="0.2">
      <c r="A384" s="70" t="s">
        <v>980</v>
      </c>
      <c r="B384" s="64" t="s">
        <v>393</v>
      </c>
      <c r="C384" s="61" t="s">
        <v>394</v>
      </c>
      <c r="D384" s="60">
        <v>21995</v>
      </c>
      <c r="E384" s="74" t="str">
        <f t="shared" si="5"/>
        <v>C</v>
      </c>
      <c r="G384" s="59"/>
    </row>
    <row r="385" spans="1:7" x14ac:dyDescent="0.2">
      <c r="A385" s="70" t="s">
        <v>981</v>
      </c>
      <c r="B385" s="64" t="s">
        <v>395</v>
      </c>
      <c r="C385" s="61" t="s">
        <v>396</v>
      </c>
      <c r="D385" s="60">
        <v>21995</v>
      </c>
      <c r="E385" s="74" t="str">
        <f t="shared" si="5"/>
        <v>C</v>
      </c>
      <c r="G385" s="59"/>
    </row>
    <row r="386" spans="1:7" x14ac:dyDescent="0.2">
      <c r="A386" s="70" t="s">
        <v>982</v>
      </c>
      <c r="B386" s="64" t="s">
        <v>397</v>
      </c>
      <c r="C386" s="61" t="s">
        <v>398</v>
      </c>
      <c r="D386" s="60">
        <v>21995</v>
      </c>
      <c r="E386" s="74" t="str">
        <f t="shared" si="5"/>
        <v>C</v>
      </c>
      <c r="G386" s="59"/>
    </row>
    <row r="387" spans="1:7" x14ac:dyDescent="0.2">
      <c r="A387" s="70" t="s">
        <v>983</v>
      </c>
      <c r="B387" s="64" t="s">
        <v>399</v>
      </c>
      <c r="C387" s="61" t="s">
        <v>400</v>
      </c>
      <c r="D387" s="60">
        <v>21995</v>
      </c>
      <c r="E387" s="74" t="str">
        <f t="shared" si="5"/>
        <v>C</v>
      </c>
      <c r="G387" s="59"/>
    </row>
    <row r="388" spans="1:7" x14ac:dyDescent="0.2">
      <c r="A388" s="70" t="s">
        <v>984</v>
      </c>
      <c r="B388" s="64" t="s">
        <v>401</v>
      </c>
      <c r="C388" s="61" t="s">
        <v>402</v>
      </c>
      <c r="D388" s="60">
        <v>21995</v>
      </c>
      <c r="E388" s="74" t="str">
        <f t="shared" si="5"/>
        <v>C</v>
      </c>
      <c r="G388" s="59"/>
    </row>
    <row r="389" spans="1:7" x14ac:dyDescent="0.2">
      <c r="A389" s="70" t="s">
        <v>985</v>
      </c>
      <c r="B389" s="64" t="s">
        <v>403</v>
      </c>
      <c r="C389" s="61" t="s">
        <v>404</v>
      </c>
      <c r="D389" s="60">
        <v>21995</v>
      </c>
      <c r="E389" s="74" t="str">
        <f t="shared" ref="E389:E452" si="6">VLOOKUP(D389,$G$4:$H$7,2)</f>
        <v>C</v>
      </c>
      <c r="G389" s="59"/>
    </row>
    <row r="390" spans="1:7" x14ac:dyDescent="0.2">
      <c r="A390" s="70" t="s">
        <v>986</v>
      </c>
      <c r="B390" s="64" t="s">
        <v>405</v>
      </c>
      <c r="C390" s="61" t="s">
        <v>406</v>
      </c>
      <c r="D390" s="60">
        <v>21995</v>
      </c>
      <c r="E390" s="74" t="str">
        <f t="shared" si="6"/>
        <v>C</v>
      </c>
      <c r="G390" s="59"/>
    </row>
    <row r="391" spans="1:7" x14ac:dyDescent="0.2">
      <c r="A391" s="70" t="s">
        <v>987</v>
      </c>
      <c r="B391" s="64" t="s">
        <v>407</v>
      </c>
      <c r="C391" s="61" t="s">
        <v>408</v>
      </c>
      <c r="D391" s="60">
        <v>21995</v>
      </c>
      <c r="E391" s="74" t="str">
        <f t="shared" si="6"/>
        <v>C</v>
      </c>
      <c r="G391" s="59"/>
    </row>
    <row r="392" spans="1:7" x14ac:dyDescent="0.2">
      <c r="A392" s="70" t="s">
        <v>988</v>
      </c>
      <c r="B392" s="64" t="s">
        <v>409</v>
      </c>
      <c r="C392" s="61" t="s">
        <v>410</v>
      </c>
      <c r="D392" s="60">
        <v>21995</v>
      </c>
      <c r="E392" s="74" t="str">
        <f t="shared" si="6"/>
        <v>C</v>
      </c>
      <c r="G392" s="59"/>
    </row>
    <row r="393" spans="1:7" x14ac:dyDescent="0.2">
      <c r="A393" s="70" t="s">
        <v>989</v>
      </c>
      <c r="B393" s="64" t="s">
        <v>411</v>
      </c>
      <c r="C393" s="61" t="s">
        <v>412</v>
      </c>
      <c r="D393" s="60">
        <v>21995</v>
      </c>
      <c r="E393" s="74" t="str">
        <f t="shared" si="6"/>
        <v>C</v>
      </c>
      <c r="G393" s="59"/>
    </row>
    <row r="394" spans="1:7" x14ac:dyDescent="0.2">
      <c r="A394" s="70" t="s">
        <v>990</v>
      </c>
      <c r="B394" s="64" t="s">
        <v>413</v>
      </c>
      <c r="C394" s="61" t="s">
        <v>414</v>
      </c>
      <c r="D394" s="60">
        <v>21995</v>
      </c>
      <c r="E394" s="74" t="str">
        <f t="shared" si="6"/>
        <v>C</v>
      </c>
      <c r="G394" s="59"/>
    </row>
    <row r="395" spans="1:7" x14ac:dyDescent="0.2">
      <c r="A395" s="70" t="s">
        <v>991</v>
      </c>
      <c r="B395" s="64" t="s">
        <v>415</v>
      </c>
      <c r="C395" s="61" t="s">
        <v>416</v>
      </c>
      <c r="D395" s="60">
        <v>21995</v>
      </c>
      <c r="E395" s="74" t="str">
        <f t="shared" si="6"/>
        <v>C</v>
      </c>
      <c r="G395" s="59"/>
    </row>
    <row r="396" spans="1:7" x14ac:dyDescent="0.2">
      <c r="A396" s="70" t="s">
        <v>992</v>
      </c>
      <c r="B396" s="64" t="s">
        <v>417</v>
      </c>
      <c r="C396" s="61" t="s">
        <v>418</v>
      </c>
      <c r="D396" s="60">
        <v>21995</v>
      </c>
      <c r="E396" s="74" t="str">
        <f t="shared" si="6"/>
        <v>C</v>
      </c>
      <c r="G396" s="59"/>
    </row>
    <row r="397" spans="1:7" x14ac:dyDescent="0.2">
      <c r="A397" s="70" t="s">
        <v>993</v>
      </c>
      <c r="B397" s="64" t="s">
        <v>419</v>
      </c>
      <c r="C397" s="61" t="s">
        <v>420</v>
      </c>
      <c r="D397" s="60">
        <v>21995</v>
      </c>
      <c r="E397" s="74" t="str">
        <f t="shared" si="6"/>
        <v>C</v>
      </c>
      <c r="G397" s="59"/>
    </row>
    <row r="398" spans="1:7" x14ac:dyDescent="0.2">
      <c r="A398" s="70" t="s">
        <v>994</v>
      </c>
      <c r="B398" s="64" t="s">
        <v>421</v>
      </c>
      <c r="C398" s="61" t="s">
        <v>422</v>
      </c>
      <c r="D398" s="60">
        <v>21995</v>
      </c>
      <c r="E398" s="74" t="str">
        <f t="shared" si="6"/>
        <v>C</v>
      </c>
      <c r="G398" s="59"/>
    </row>
    <row r="399" spans="1:7" x14ac:dyDescent="0.2">
      <c r="A399" s="70" t="s">
        <v>995</v>
      </c>
      <c r="B399" s="64" t="s">
        <v>423</v>
      </c>
      <c r="C399" s="61" t="s">
        <v>424</v>
      </c>
      <c r="D399" s="60">
        <v>21995</v>
      </c>
      <c r="E399" s="74" t="str">
        <f t="shared" si="6"/>
        <v>C</v>
      </c>
      <c r="G399" s="59"/>
    </row>
    <row r="400" spans="1:7" x14ac:dyDescent="0.2">
      <c r="A400" s="70" t="s">
        <v>996</v>
      </c>
      <c r="B400" s="64" t="s">
        <v>425</v>
      </c>
      <c r="C400" s="61" t="s">
        <v>426</v>
      </c>
      <c r="D400" s="60">
        <v>21995</v>
      </c>
      <c r="E400" s="74" t="str">
        <f t="shared" si="6"/>
        <v>C</v>
      </c>
      <c r="G400" s="59"/>
    </row>
    <row r="401" spans="1:7" x14ac:dyDescent="0.2">
      <c r="A401" s="70" t="s">
        <v>997</v>
      </c>
      <c r="B401" s="64" t="s">
        <v>427</v>
      </c>
      <c r="C401" s="61" t="s">
        <v>428</v>
      </c>
      <c r="D401" s="60">
        <v>21995</v>
      </c>
      <c r="E401" s="74" t="str">
        <f t="shared" si="6"/>
        <v>C</v>
      </c>
      <c r="G401" s="59"/>
    </row>
    <row r="402" spans="1:7" x14ac:dyDescent="0.2">
      <c r="A402" s="70" t="s">
        <v>998</v>
      </c>
      <c r="B402" s="64" t="s">
        <v>429</v>
      </c>
      <c r="C402" s="61" t="s">
        <v>430</v>
      </c>
      <c r="D402" s="60">
        <v>21995</v>
      </c>
      <c r="E402" s="74" t="str">
        <f t="shared" si="6"/>
        <v>C</v>
      </c>
      <c r="G402" s="59"/>
    </row>
    <row r="403" spans="1:7" x14ac:dyDescent="0.2">
      <c r="A403" s="70" t="s">
        <v>999</v>
      </c>
      <c r="B403" s="64" t="s">
        <v>431</v>
      </c>
      <c r="C403" s="61" t="s">
        <v>432</v>
      </c>
      <c r="D403" s="60">
        <v>21995</v>
      </c>
      <c r="E403" s="74" t="str">
        <f t="shared" si="6"/>
        <v>C</v>
      </c>
      <c r="G403" s="59"/>
    </row>
    <row r="404" spans="1:7" x14ac:dyDescent="0.2">
      <c r="A404" s="70" t="s">
        <v>1000</v>
      </c>
      <c r="B404" s="64" t="s">
        <v>433</v>
      </c>
      <c r="C404" s="61" t="s">
        <v>434</v>
      </c>
      <c r="D404" s="60">
        <v>21995</v>
      </c>
      <c r="E404" s="74" t="str">
        <f t="shared" si="6"/>
        <v>C</v>
      </c>
      <c r="G404" s="59"/>
    </row>
    <row r="405" spans="1:7" x14ac:dyDescent="0.2">
      <c r="A405" s="70" t="s">
        <v>1001</v>
      </c>
      <c r="B405" s="64" t="s">
        <v>435</v>
      </c>
      <c r="C405" s="61" t="s">
        <v>436</v>
      </c>
      <c r="D405" s="60">
        <v>21995</v>
      </c>
      <c r="E405" s="74" t="str">
        <f t="shared" si="6"/>
        <v>C</v>
      </c>
      <c r="G405" s="59"/>
    </row>
    <row r="406" spans="1:7" x14ac:dyDescent="0.2">
      <c r="A406" s="70" t="s">
        <v>1002</v>
      </c>
      <c r="B406" s="64" t="s">
        <v>437</v>
      </c>
      <c r="C406" s="61" t="s">
        <v>438</v>
      </c>
      <c r="D406" s="60">
        <v>21995</v>
      </c>
      <c r="E406" s="74" t="str">
        <f t="shared" si="6"/>
        <v>C</v>
      </c>
      <c r="G406" s="59"/>
    </row>
    <row r="407" spans="1:7" x14ac:dyDescent="0.2">
      <c r="A407" s="70" t="s">
        <v>1003</v>
      </c>
      <c r="B407" s="64" t="s">
        <v>439</v>
      </c>
      <c r="C407" s="61" t="s">
        <v>440</v>
      </c>
      <c r="D407" s="60">
        <v>21995</v>
      </c>
      <c r="E407" s="74" t="str">
        <f t="shared" si="6"/>
        <v>C</v>
      </c>
      <c r="G407" s="59"/>
    </row>
    <row r="408" spans="1:7" x14ac:dyDescent="0.2">
      <c r="A408" s="70" t="s">
        <v>1004</v>
      </c>
      <c r="B408" s="64" t="s">
        <v>441</v>
      </c>
      <c r="C408" s="61" t="s">
        <v>442</v>
      </c>
      <c r="D408" s="60">
        <v>21995</v>
      </c>
      <c r="E408" s="74" t="str">
        <f t="shared" si="6"/>
        <v>C</v>
      </c>
      <c r="G408" s="59"/>
    </row>
    <row r="409" spans="1:7" x14ac:dyDescent="0.2">
      <c r="A409" s="70" t="s">
        <v>1005</v>
      </c>
      <c r="B409" s="64" t="s">
        <v>443</v>
      </c>
      <c r="C409" s="61" t="s">
        <v>444</v>
      </c>
      <c r="D409" s="60">
        <v>21995</v>
      </c>
      <c r="E409" s="74" t="str">
        <f t="shared" si="6"/>
        <v>C</v>
      </c>
      <c r="G409" s="59"/>
    </row>
    <row r="410" spans="1:7" x14ac:dyDescent="0.2">
      <c r="A410" s="70" t="s">
        <v>1006</v>
      </c>
      <c r="B410" s="64" t="s">
        <v>445</v>
      </c>
      <c r="C410" s="61" t="s">
        <v>446</v>
      </c>
      <c r="D410" s="60">
        <v>21995</v>
      </c>
      <c r="E410" s="74" t="str">
        <f t="shared" si="6"/>
        <v>C</v>
      </c>
      <c r="G410" s="59"/>
    </row>
    <row r="411" spans="1:7" x14ac:dyDescent="0.2">
      <c r="A411" s="70" t="s">
        <v>1007</v>
      </c>
      <c r="B411" s="64" t="s">
        <v>447</v>
      </c>
      <c r="C411" s="61" t="s">
        <v>448</v>
      </c>
      <c r="D411" s="60">
        <v>21995</v>
      </c>
      <c r="E411" s="74" t="str">
        <f t="shared" si="6"/>
        <v>C</v>
      </c>
      <c r="G411" s="59"/>
    </row>
    <row r="412" spans="1:7" x14ac:dyDescent="0.2">
      <c r="A412" s="70" t="s">
        <v>1008</v>
      </c>
      <c r="B412" s="64" t="s">
        <v>449</v>
      </c>
      <c r="C412" s="61" t="s">
        <v>450</v>
      </c>
      <c r="D412" s="60">
        <v>21995</v>
      </c>
      <c r="E412" s="74" t="str">
        <f t="shared" si="6"/>
        <v>C</v>
      </c>
      <c r="G412" s="59"/>
    </row>
    <row r="413" spans="1:7" x14ac:dyDescent="0.2">
      <c r="A413" s="67" t="s">
        <v>1009</v>
      </c>
      <c r="B413" s="49" t="s">
        <v>546</v>
      </c>
      <c r="C413" s="49" t="s">
        <v>547</v>
      </c>
      <c r="D413" s="57">
        <v>1095</v>
      </c>
      <c r="E413" s="74" t="str">
        <f t="shared" si="6"/>
        <v>B</v>
      </c>
      <c r="G413" s="59"/>
    </row>
    <row r="414" spans="1:7" x14ac:dyDescent="0.2">
      <c r="A414" s="67" t="s">
        <v>1010</v>
      </c>
      <c r="B414" s="49" t="s">
        <v>544</v>
      </c>
      <c r="C414" s="49" t="s">
        <v>545</v>
      </c>
      <c r="D414" s="57">
        <v>490</v>
      </c>
      <c r="E414" s="74" t="str">
        <f t="shared" si="6"/>
        <v>A</v>
      </c>
      <c r="G414" s="59"/>
    </row>
    <row r="415" spans="1:7" x14ac:dyDescent="0.2">
      <c r="A415" s="67" t="s">
        <v>1011</v>
      </c>
      <c r="B415" s="49" t="s">
        <v>359</v>
      </c>
      <c r="C415" s="49" t="s">
        <v>360</v>
      </c>
      <c r="D415" s="57">
        <v>325</v>
      </c>
      <c r="E415" s="74" t="str">
        <f t="shared" si="6"/>
        <v>A</v>
      </c>
      <c r="G415" s="59"/>
    </row>
    <row r="416" spans="1:7" x14ac:dyDescent="0.2">
      <c r="A416" s="67" t="s">
        <v>1012</v>
      </c>
      <c r="B416" s="49" t="s">
        <v>548</v>
      </c>
      <c r="C416" s="49" t="s">
        <v>549</v>
      </c>
      <c r="D416" s="57">
        <v>4395</v>
      </c>
      <c r="E416" s="74" t="str">
        <f t="shared" si="6"/>
        <v>B</v>
      </c>
      <c r="G416" s="59"/>
    </row>
    <row r="417" spans="1:7" x14ac:dyDescent="0.2">
      <c r="A417" s="67" t="s">
        <v>1013</v>
      </c>
      <c r="B417" s="49" t="s">
        <v>588</v>
      </c>
      <c r="C417" s="49" t="s">
        <v>589</v>
      </c>
      <c r="D417" s="57">
        <v>5495</v>
      </c>
      <c r="E417" s="74" t="str">
        <f t="shared" si="6"/>
        <v>B</v>
      </c>
      <c r="G417" s="59"/>
    </row>
    <row r="418" spans="1:7" x14ac:dyDescent="0.2">
      <c r="A418" s="67" t="s">
        <v>1014</v>
      </c>
      <c r="B418" s="49" t="s">
        <v>1851</v>
      </c>
      <c r="C418" s="49" t="s">
        <v>550</v>
      </c>
      <c r="D418" s="57">
        <v>5495</v>
      </c>
      <c r="E418" s="74" t="str">
        <f t="shared" si="6"/>
        <v>B</v>
      </c>
      <c r="G418" s="59"/>
    </row>
    <row r="419" spans="1:7" x14ac:dyDescent="0.2">
      <c r="A419" s="67" t="s">
        <v>1015</v>
      </c>
      <c r="B419" s="49" t="s">
        <v>1852</v>
      </c>
      <c r="C419" s="49" t="s">
        <v>551</v>
      </c>
      <c r="D419" s="57">
        <v>5495</v>
      </c>
      <c r="E419" s="74" t="str">
        <f t="shared" si="6"/>
        <v>B</v>
      </c>
      <c r="G419" s="59"/>
    </row>
    <row r="420" spans="1:7" x14ac:dyDescent="0.2">
      <c r="A420" s="67" t="s">
        <v>1016</v>
      </c>
      <c r="B420" s="49" t="s">
        <v>1853</v>
      </c>
      <c r="C420" s="49" t="s">
        <v>552</v>
      </c>
      <c r="D420" s="57">
        <v>5495</v>
      </c>
      <c r="E420" s="74" t="str">
        <f t="shared" si="6"/>
        <v>B</v>
      </c>
      <c r="G420" s="59"/>
    </row>
    <row r="421" spans="1:7" x14ac:dyDescent="0.2">
      <c r="A421" s="67" t="s">
        <v>1017</v>
      </c>
      <c r="B421" s="49" t="s">
        <v>1854</v>
      </c>
      <c r="C421" s="49" t="s">
        <v>553</v>
      </c>
      <c r="D421" s="57">
        <v>5495</v>
      </c>
      <c r="E421" s="74" t="str">
        <f t="shared" si="6"/>
        <v>B</v>
      </c>
      <c r="G421" s="59"/>
    </row>
    <row r="422" spans="1:7" x14ac:dyDescent="0.2">
      <c r="A422" s="67" t="s">
        <v>1018</v>
      </c>
      <c r="B422" s="49" t="s">
        <v>1855</v>
      </c>
      <c r="C422" s="49" t="s">
        <v>554</v>
      </c>
      <c r="D422" s="57">
        <v>5495</v>
      </c>
      <c r="E422" s="74" t="str">
        <f t="shared" si="6"/>
        <v>B</v>
      </c>
      <c r="G422" s="59"/>
    </row>
    <row r="423" spans="1:7" x14ac:dyDescent="0.2">
      <c r="A423" s="67" t="s">
        <v>1019</v>
      </c>
      <c r="B423" s="49" t="s">
        <v>1856</v>
      </c>
      <c r="C423" s="49" t="s">
        <v>555</v>
      </c>
      <c r="D423" s="57">
        <v>5495</v>
      </c>
      <c r="E423" s="74" t="str">
        <f t="shared" si="6"/>
        <v>B</v>
      </c>
      <c r="G423" s="59"/>
    </row>
    <row r="424" spans="1:7" x14ac:dyDescent="0.2">
      <c r="A424" s="67" t="s">
        <v>1020</v>
      </c>
      <c r="B424" s="49" t="s">
        <v>1857</v>
      </c>
      <c r="C424" s="49" t="s">
        <v>556</v>
      </c>
      <c r="D424" s="57">
        <v>5495</v>
      </c>
      <c r="E424" s="74" t="str">
        <f t="shared" si="6"/>
        <v>B</v>
      </c>
      <c r="G424" s="59"/>
    </row>
    <row r="425" spans="1:7" x14ac:dyDescent="0.2">
      <c r="A425" s="67" t="s">
        <v>1021</v>
      </c>
      <c r="B425" s="49" t="s">
        <v>1858</v>
      </c>
      <c r="C425" s="49" t="s">
        <v>557</v>
      </c>
      <c r="D425" s="57">
        <v>5495</v>
      </c>
      <c r="E425" s="74" t="str">
        <f t="shared" si="6"/>
        <v>B</v>
      </c>
      <c r="G425" s="59"/>
    </row>
    <row r="426" spans="1:7" x14ac:dyDescent="0.2">
      <c r="A426" s="67" t="s">
        <v>1022</v>
      </c>
      <c r="B426" s="49" t="s">
        <v>2261</v>
      </c>
      <c r="C426" s="49" t="s">
        <v>2262</v>
      </c>
      <c r="D426" s="57">
        <v>5495</v>
      </c>
      <c r="E426" s="74" t="str">
        <f t="shared" si="6"/>
        <v>B</v>
      </c>
      <c r="G426" s="59"/>
    </row>
    <row r="427" spans="1:7" x14ac:dyDescent="0.2">
      <c r="A427" s="67" t="s">
        <v>1023</v>
      </c>
      <c r="B427" s="49" t="s">
        <v>2263</v>
      </c>
      <c r="C427" s="49" t="s">
        <v>177</v>
      </c>
      <c r="D427" s="57">
        <v>5825</v>
      </c>
      <c r="E427" s="74" t="str">
        <f t="shared" si="6"/>
        <v>B</v>
      </c>
      <c r="G427" s="59"/>
    </row>
    <row r="428" spans="1:7" x14ac:dyDescent="0.2">
      <c r="A428" s="68" t="s">
        <v>1024</v>
      </c>
      <c r="B428" s="39" t="s">
        <v>2264</v>
      </c>
      <c r="C428" s="39" t="s">
        <v>178</v>
      </c>
      <c r="D428" s="38">
        <v>21995</v>
      </c>
      <c r="E428" s="74" t="str">
        <f t="shared" si="6"/>
        <v>C</v>
      </c>
      <c r="G428" s="59"/>
    </row>
    <row r="429" spans="1:7" x14ac:dyDescent="0.2">
      <c r="A429" s="71" t="s">
        <v>1025</v>
      </c>
      <c r="B429" s="39" t="s">
        <v>2265</v>
      </c>
      <c r="C429" s="39" t="s">
        <v>179</v>
      </c>
      <c r="D429" s="38">
        <v>22325</v>
      </c>
      <c r="E429" s="74" t="str">
        <f t="shared" si="6"/>
        <v>C</v>
      </c>
      <c r="G429" s="59"/>
    </row>
    <row r="430" spans="1:7" x14ac:dyDescent="0.2">
      <c r="A430" s="71" t="s">
        <v>1026</v>
      </c>
      <c r="B430" s="39" t="s">
        <v>2266</v>
      </c>
      <c r="C430" s="39" t="s">
        <v>180</v>
      </c>
      <c r="D430" s="38">
        <v>25295</v>
      </c>
      <c r="E430" s="74" t="str">
        <f t="shared" si="6"/>
        <v>D</v>
      </c>
      <c r="G430" s="59"/>
    </row>
    <row r="431" spans="1:7" x14ac:dyDescent="0.2">
      <c r="A431" s="71" t="s">
        <v>1027</v>
      </c>
      <c r="B431" s="39" t="s">
        <v>2267</v>
      </c>
      <c r="C431" s="39" t="s">
        <v>181</v>
      </c>
      <c r="D431" s="38">
        <v>25625</v>
      </c>
      <c r="E431" s="74" t="str">
        <f t="shared" si="6"/>
        <v>D</v>
      </c>
      <c r="G431" s="59"/>
    </row>
    <row r="432" spans="1:7" x14ac:dyDescent="0.2">
      <c r="A432" s="68" t="s">
        <v>1028</v>
      </c>
      <c r="B432" s="39" t="s">
        <v>2268</v>
      </c>
      <c r="C432" s="39" t="s">
        <v>182</v>
      </c>
      <c r="D432" s="57">
        <v>19795</v>
      </c>
      <c r="E432" s="74" t="str">
        <f t="shared" si="6"/>
        <v>C</v>
      </c>
      <c r="G432" s="59"/>
    </row>
    <row r="433" spans="1:7" x14ac:dyDescent="0.2">
      <c r="A433" s="68" t="s">
        <v>1029</v>
      </c>
      <c r="B433" s="39" t="s">
        <v>2269</v>
      </c>
      <c r="C433" s="39" t="s">
        <v>183</v>
      </c>
      <c r="D433" s="57">
        <v>30795</v>
      </c>
      <c r="E433" s="74" t="str">
        <f t="shared" si="6"/>
        <v>D</v>
      </c>
      <c r="G433" s="59"/>
    </row>
    <row r="434" spans="1:7" x14ac:dyDescent="0.2">
      <c r="A434" s="68" t="s">
        <v>1030</v>
      </c>
      <c r="B434" s="39" t="s">
        <v>2270</v>
      </c>
      <c r="C434" s="39" t="s">
        <v>184</v>
      </c>
      <c r="D434" s="57">
        <v>20095</v>
      </c>
      <c r="E434" s="74" t="str">
        <f t="shared" si="6"/>
        <v>C</v>
      </c>
      <c r="G434" s="59"/>
    </row>
    <row r="435" spans="1:7" x14ac:dyDescent="0.2">
      <c r="A435" s="68" t="s">
        <v>1031</v>
      </c>
      <c r="B435" s="39" t="s">
        <v>2271</v>
      </c>
      <c r="C435" s="39" t="s">
        <v>185</v>
      </c>
      <c r="D435" s="38">
        <v>13195</v>
      </c>
      <c r="E435" s="74" t="str">
        <f t="shared" si="6"/>
        <v>C</v>
      </c>
      <c r="G435" s="59"/>
    </row>
    <row r="436" spans="1:7" x14ac:dyDescent="0.2">
      <c r="A436" s="68" t="s">
        <v>1032</v>
      </c>
      <c r="B436" s="39" t="s">
        <v>2272</v>
      </c>
      <c r="C436" s="39" t="s">
        <v>186</v>
      </c>
      <c r="D436" s="38">
        <v>13525</v>
      </c>
      <c r="E436" s="74" t="str">
        <f t="shared" si="6"/>
        <v>C</v>
      </c>
      <c r="G436" s="59"/>
    </row>
    <row r="437" spans="1:7" x14ac:dyDescent="0.2">
      <c r="A437" s="68" t="s">
        <v>1033</v>
      </c>
      <c r="B437" s="39" t="s">
        <v>2273</v>
      </c>
      <c r="C437" s="39" t="s">
        <v>187</v>
      </c>
      <c r="D437" s="57">
        <v>31095</v>
      </c>
      <c r="E437" s="74" t="str">
        <f t="shared" si="6"/>
        <v>D</v>
      </c>
      <c r="G437" s="59"/>
    </row>
    <row r="438" spans="1:7" x14ac:dyDescent="0.2">
      <c r="A438" s="68" t="s">
        <v>1034</v>
      </c>
      <c r="B438" s="39" t="s">
        <v>2274</v>
      </c>
      <c r="C438" s="39" t="s">
        <v>188</v>
      </c>
      <c r="D438" s="38">
        <v>25295</v>
      </c>
      <c r="E438" s="74" t="str">
        <f t="shared" si="6"/>
        <v>D</v>
      </c>
      <c r="G438" s="59"/>
    </row>
    <row r="439" spans="1:7" x14ac:dyDescent="0.2">
      <c r="A439" s="68" t="s">
        <v>1035</v>
      </c>
      <c r="B439" s="39" t="s">
        <v>2275</v>
      </c>
      <c r="C439" s="39" t="s">
        <v>189</v>
      </c>
      <c r="D439" s="38">
        <v>25625</v>
      </c>
      <c r="E439" s="74" t="str">
        <f t="shared" si="6"/>
        <v>D</v>
      </c>
      <c r="G439" s="59"/>
    </row>
    <row r="440" spans="1:7" x14ac:dyDescent="0.2">
      <c r="A440" s="67" t="s">
        <v>1036</v>
      </c>
      <c r="B440" s="49" t="s">
        <v>2276</v>
      </c>
      <c r="C440" s="49" t="s">
        <v>2276</v>
      </c>
      <c r="D440" s="57">
        <v>10995</v>
      </c>
      <c r="E440" s="74" t="str">
        <f t="shared" si="6"/>
        <v>C</v>
      </c>
      <c r="G440" s="59"/>
    </row>
    <row r="441" spans="1:7" x14ac:dyDescent="0.2">
      <c r="A441" s="67" t="s">
        <v>1037</v>
      </c>
      <c r="B441" s="49" t="s">
        <v>2277</v>
      </c>
      <c r="C441" s="49" t="s">
        <v>2277</v>
      </c>
      <c r="D441" s="57">
        <v>9895</v>
      </c>
      <c r="E441" s="74" t="str">
        <f t="shared" si="6"/>
        <v>B</v>
      </c>
      <c r="G441" s="59"/>
    </row>
    <row r="442" spans="1:7" x14ac:dyDescent="0.2">
      <c r="A442" s="67" t="s">
        <v>1038</v>
      </c>
      <c r="B442" s="49" t="s">
        <v>2278</v>
      </c>
      <c r="C442" s="49" t="s">
        <v>2278</v>
      </c>
      <c r="D442" s="57">
        <v>14295</v>
      </c>
      <c r="E442" s="74" t="str">
        <f t="shared" si="6"/>
        <v>C</v>
      </c>
      <c r="G442" s="59"/>
    </row>
    <row r="443" spans="1:7" x14ac:dyDescent="0.2">
      <c r="A443" s="67" t="s">
        <v>1039</v>
      </c>
      <c r="B443" s="49" t="s">
        <v>2279</v>
      </c>
      <c r="C443" s="49" t="s">
        <v>2279</v>
      </c>
      <c r="D443" s="57">
        <v>15395</v>
      </c>
      <c r="E443" s="74" t="str">
        <f t="shared" si="6"/>
        <v>C</v>
      </c>
      <c r="G443" s="59"/>
    </row>
    <row r="444" spans="1:7" x14ac:dyDescent="0.2">
      <c r="A444" s="67" t="s">
        <v>1040</v>
      </c>
      <c r="B444" s="49" t="s">
        <v>2280</v>
      </c>
      <c r="C444" s="49" t="s">
        <v>2280</v>
      </c>
      <c r="D444" s="57">
        <v>19795</v>
      </c>
      <c r="E444" s="74" t="str">
        <f t="shared" si="6"/>
        <v>C</v>
      </c>
      <c r="G444" s="59"/>
    </row>
    <row r="445" spans="1:7" x14ac:dyDescent="0.2">
      <c r="A445" s="67" t="s">
        <v>1041</v>
      </c>
      <c r="B445" s="39" t="s">
        <v>2281</v>
      </c>
      <c r="C445" s="39" t="s">
        <v>190</v>
      </c>
      <c r="D445" s="57">
        <v>6595</v>
      </c>
      <c r="E445" s="74" t="str">
        <f t="shared" si="6"/>
        <v>B</v>
      </c>
      <c r="G445" s="59"/>
    </row>
    <row r="446" spans="1:7" x14ac:dyDescent="0.2">
      <c r="A446" s="68" t="s">
        <v>1042</v>
      </c>
      <c r="B446" s="39" t="s">
        <v>2282</v>
      </c>
      <c r="C446" s="39" t="s">
        <v>191</v>
      </c>
      <c r="D446" s="57">
        <v>12095</v>
      </c>
      <c r="E446" s="74" t="str">
        <f t="shared" si="6"/>
        <v>C</v>
      </c>
      <c r="G446" s="59"/>
    </row>
    <row r="447" spans="1:7" x14ac:dyDescent="0.2">
      <c r="A447" s="68" t="s">
        <v>1043</v>
      </c>
      <c r="B447" s="39" t="s">
        <v>2283</v>
      </c>
      <c r="C447" s="39" t="s">
        <v>192</v>
      </c>
      <c r="D447" s="57">
        <v>14295</v>
      </c>
      <c r="E447" s="74" t="str">
        <f t="shared" si="6"/>
        <v>C</v>
      </c>
      <c r="G447" s="59"/>
    </row>
    <row r="448" spans="1:7" x14ac:dyDescent="0.2">
      <c r="A448" s="68" t="s">
        <v>1044</v>
      </c>
      <c r="B448" s="39" t="s">
        <v>2284</v>
      </c>
      <c r="C448" s="39" t="s">
        <v>193</v>
      </c>
      <c r="D448" s="57">
        <v>19795</v>
      </c>
      <c r="E448" s="74" t="str">
        <f t="shared" si="6"/>
        <v>C</v>
      </c>
      <c r="G448" s="59"/>
    </row>
    <row r="449" spans="1:7" x14ac:dyDescent="0.2">
      <c r="A449" s="68" t="s">
        <v>1045</v>
      </c>
      <c r="B449" s="39" t="s">
        <v>194</v>
      </c>
      <c r="C449" s="39" t="s">
        <v>195</v>
      </c>
      <c r="D449" s="38">
        <v>9895</v>
      </c>
      <c r="E449" s="74" t="str">
        <f t="shared" si="6"/>
        <v>B</v>
      </c>
      <c r="G449" s="59"/>
    </row>
    <row r="450" spans="1:7" x14ac:dyDescent="0.2">
      <c r="A450" s="68" t="s">
        <v>1046</v>
      </c>
      <c r="B450" s="39" t="s">
        <v>2285</v>
      </c>
      <c r="C450" s="39" t="s">
        <v>506</v>
      </c>
      <c r="D450" s="38">
        <v>7255</v>
      </c>
      <c r="E450" s="74" t="str">
        <f t="shared" si="6"/>
        <v>B</v>
      </c>
      <c r="G450" s="59"/>
    </row>
    <row r="451" spans="1:7" x14ac:dyDescent="0.2">
      <c r="A451" s="67" t="s">
        <v>1047</v>
      </c>
      <c r="B451" s="49" t="s">
        <v>2286</v>
      </c>
      <c r="C451" s="49" t="s">
        <v>2286</v>
      </c>
      <c r="D451" s="57">
        <v>3845</v>
      </c>
      <c r="E451" s="74" t="str">
        <f t="shared" si="6"/>
        <v>B</v>
      </c>
      <c r="G451" s="59"/>
    </row>
    <row r="452" spans="1:7" x14ac:dyDescent="0.2">
      <c r="A452" s="67" t="s">
        <v>1048</v>
      </c>
      <c r="B452" s="49" t="s">
        <v>2287</v>
      </c>
      <c r="C452" s="49" t="s">
        <v>2287</v>
      </c>
      <c r="D452" s="57">
        <v>4395</v>
      </c>
      <c r="E452" s="74" t="str">
        <f t="shared" si="6"/>
        <v>B</v>
      </c>
      <c r="G452" s="59"/>
    </row>
    <row r="453" spans="1:7" x14ac:dyDescent="0.2">
      <c r="A453" s="67" t="s">
        <v>1049</v>
      </c>
      <c r="B453" s="49" t="s">
        <v>2288</v>
      </c>
      <c r="C453" s="49" t="s">
        <v>2288</v>
      </c>
      <c r="D453" s="57">
        <v>6595</v>
      </c>
      <c r="E453" s="74" t="str">
        <f t="shared" ref="E453:E516" si="7">VLOOKUP(D453,$G$4:$H$7,2)</f>
        <v>B</v>
      </c>
      <c r="G453" s="59"/>
    </row>
    <row r="454" spans="1:7" x14ac:dyDescent="0.2">
      <c r="A454" s="67" t="s">
        <v>1050</v>
      </c>
      <c r="B454" s="49" t="s">
        <v>2289</v>
      </c>
      <c r="C454" s="49" t="s">
        <v>2289</v>
      </c>
      <c r="D454" s="57">
        <v>7695</v>
      </c>
      <c r="E454" s="74" t="str">
        <f t="shared" si="7"/>
        <v>B</v>
      </c>
      <c r="G454" s="59"/>
    </row>
    <row r="455" spans="1:7" x14ac:dyDescent="0.2">
      <c r="A455" s="67" t="s">
        <v>1051</v>
      </c>
      <c r="B455" s="49" t="s">
        <v>2290</v>
      </c>
      <c r="C455" s="49" t="s">
        <v>2290</v>
      </c>
      <c r="D455" s="57">
        <v>5495</v>
      </c>
      <c r="E455" s="74" t="str">
        <f t="shared" si="7"/>
        <v>B</v>
      </c>
      <c r="G455" s="59"/>
    </row>
    <row r="456" spans="1:7" x14ac:dyDescent="0.2">
      <c r="A456" s="67" t="s">
        <v>1052</v>
      </c>
      <c r="B456" s="49" t="s">
        <v>2291</v>
      </c>
      <c r="C456" s="49" t="s">
        <v>2291</v>
      </c>
      <c r="D456" s="57">
        <v>6595</v>
      </c>
      <c r="E456" s="74" t="str">
        <f t="shared" si="7"/>
        <v>B</v>
      </c>
      <c r="G456" s="59"/>
    </row>
    <row r="457" spans="1:7" x14ac:dyDescent="0.2">
      <c r="A457" s="67" t="s">
        <v>1053</v>
      </c>
      <c r="B457" s="49" t="s">
        <v>196</v>
      </c>
      <c r="C457" s="49" t="s">
        <v>196</v>
      </c>
      <c r="D457" s="57">
        <v>550</v>
      </c>
      <c r="E457" s="74" t="str">
        <f t="shared" si="7"/>
        <v>A</v>
      </c>
      <c r="G457" s="59"/>
    </row>
    <row r="458" spans="1:7" x14ac:dyDescent="0.2">
      <c r="A458" s="67" t="s">
        <v>1054</v>
      </c>
      <c r="B458" s="49" t="s">
        <v>2292</v>
      </c>
      <c r="C458" s="49" t="s">
        <v>2292</v>
      </c>
      <c r="D458" s="57">
        <v>1645</v>
      </c>
      <c r="E458" s="74" t="str">
        <f t="shared" si="7"/>
        <v>B</v>
      </c>
      <c r="G458" s="59"/>
    </row>
    <row r="459" spans="1:7" x14ac:dyDescent="0.2">
      <c r="A459" s="67" t="s">
        <v>1055</v>
      </c>
      <c r="B459" s="49" t="s">
        <v>2293</v>
      </c>
      <c r="C459" s="49" t="s">
        <v>2293</v>
      </c>
      <c r="D459" s="57">
        <v>1975</v>
      </c>
      <c r="E459" s="74" t="str">
        <f t="shared" si="7"/>
        <v>B</v>
      </c>
      <c r="G459" s="59"/>
    </row>
    <row r="460" spans="1:7" x14ac:dyDescent="0.2">
      <c r="A460" s="67" t="s">
        <v>1056</v>
      </c>
      <c r="B460" s="49" t="s">
        <v>2292</v>
      </c>
      <c r="C460" s="49" t="s">
        <v>2292</v>
      </c>
      <c r="D460" s="57">
        <v>1645</v>
      </c>
      <c r="E460" s="74" t="str">
        <f t="shared" si="7"/>
        <v>B</v>
      </c>
      <c r="G460" s="59"/>
    </row>
    <row r="461" spans="1:7" x14ac:dyDescent="0.2">
      <c r="A461" s="68" t="s">
        <v>1057</v>
      </c>
      <c r="B461" s="49" t="s">
        <v>2294</v>
      </c>
      <c r="C461" s="49" t="s">
        <v>2294</v>
      </c>
      <c r="D461" s="38">
        <v>1975</v>
      </c>
      <c r="E461" s="74" t="str">
        <f t="shared" si="7"/>
        <v>B</v>
      </c>
      <c r="G461" s="59"/>
    </row>
    <row r="462" spans="1:7" x14ac:dyDescent="0.2">
      <c r="A462" s="68" t="s">
        <v>1058</v>
      </c>
      <c r="B462" s="39" t="s">
        <v>2295</v>
      </c>
      <c r="C462" s="39" t="s">
        <v>2295</v>
      </c>
      <c r="D462" s="57">
        <v>2195</v>
      </c>
      <c r="E462" s="74" t="str">
        <f t="shared" si="7"/>
        <v>B</v>
      </c>
      <c r="G462" s="59"/>
    </row>
    <row r="463" spans="1:7" x14ac:dyDescent="0.2">
      <c r="A463" s="67" t="s">
        <v>1059</v>
      </c>
      <c r="B463" s="49" t="s">
        <v>2296</v>
      </c>
      <c r="C463" s="49" t="s">
        <v>2296</v>
      </c>
      <c r="D463" s="57">
        <v>88</v>
      </c>
      <c r="E463" s="74" t="str">
        <f t="shared" si="7"/>
        <v>A</v>
      </c>
      <c r="G463" s="59"/>
    </row>
    <row r="464" spans="1:7" x14ac:dyDescent="0.2">
      <c r="A464" s="68" t="s">
        <v>1060</v>
      </c>
      <c r="B464" s="39" t="s">
        <v>471</v>
      </c>
      <c r="C464" s="39" t="s">
        <v>368</v>
      </c>
      <c r="D464" s="57">
        <v>1095</v>
      </c>
      <c r="E464" s="74" t="str">
        <f t="shared" si="7"/>
        <v>B</v>
      </c>
      <c r="G464" s="59"/>
    </row>
    <row r="465" spans="1:7" x14ac:dyDescent="0.2">
      <c r="A465" s="67" t="s">
        <v>1061</v>
      </c>
      <c r="B465" s="49" t="s">
        <v>529</v>
      </c>
      <c r="C465" s="49" t="s">
        <v>530</v>
      </c>
      <c r="D465" s="57">
        <v>1370</v>
      </c>
      <c r="E465" s="74" t="str">
        <f t="shared" si="7"/>
        <v>B</v>
      </c>
      <c r="G465" s="59"/>
    </row>
    <row r="466" spans="1:7" x14ac:dyDescent="0.2">
      <c r="A466" s="67" t="s">
        <v>1062</v>
      </c>
      <c r="B466" s="49" t="s">
        <v>531</v>
      </c>
      <c r="C466" s="49" t="s">
        <v>532</v>
      </c>
      <c r="D466" s="57">
        <v>2745</v>
      </c>
      <c r="E466" s="74" t="str">
        <f t="shared" si="7"/>
        <v>B</v>
      </c>
      <c r="G466" s="59"/>
    </row>
    <row r="467" spans="1:7" x14ac:dyDescent="0.2">
      <c r="A467" s="67" t="s">
        <v>1063</v>
      </c>
      <c r="B467" s="49" t="s">
        <v>533</v>
      </c>
      <c r="C467" s="49" t="s">
        <v>534</v>
      </c>
      <c r="D467" s="57">
        <v>10995</v>
      </c>
      <c r="E467" s="74" t="str">
        <f t="shared" si="7"/>
        <v>C</v>
      </c>
      <c r="G467" s="59"/>
    </row>
    <row r="468" spans="1:7" x14ac:dyDescent="0.2">
      <c r="A468" s="67" t="s">
        <v>1064</v>
      </c>
      <c r="B468" s="49" t="s">
        <v>369</v>
      </c>
      <c r="C468" s="49" t="s">
        <v>370</v>
      </c>
      <c r="D468" s="57">
        <v>17595</v>
      </c>
      <c r="E468" s="74" t="str">
        <f t="shared" si="7"/>
        <v>C</v>
      </c>
      <c r="G468" s="59"/>
    </row>
    <row r="469" spans="1:7" x14ac:dyDescent="0.2">
      <c r="A469" s="70" t="s">
        <v>1065</v>
      </c>
      <c r="B469" s="64" t="s">
        <v>371</v>
      </c>
      <c r="C469" s="66" t="s">
        <v>372</v>
      </c>
      <c r="D469" s="60">
        <v>21995</v>
      </c>
      <c r="E469" s="74" t="str">
        <f t="shared" si="7"/>
        <v>C</v>
      </c>
      <c r="G469" s="59"/>
    </row>
    <row r="470" spans="1:7" x14ac:dyDescent="0.2">
      <c r="A470" s="70" t="s">
        <v>1066</v>
      </c>
      <c r="B470" s="64" t="s">
        <v>373</v>
      </c>
      <c r="C470" s="61" t="s">
        <v>374</v>
      </c>
      <c r="D470" s="60">
        <v>21995</v>
      </c>
      <c r="E470" s="74" t="str">
        <f t="shared" si="7"/>
        <v>C</v>
      </c>
      <c r="G470" s="59"/>
    </row>
    <row r="471" spans="1:7" x14ac:dyDescent="0.2">
      <c r="A471" s="70" t="s">
        <v>1067</v>
      </c>
      <c r="B471" s="64" t="s">
        <v>375</v>
      </c>
      <c r="C471" s="61" t="s">
        <v>376</v>
      </c>
      <c r="D471" s="60">
        <v>21995</v>
      </c>
      <c r="E471" s="74" t="str">
        <f t="shared" si="7"/>
        <v>C</v>
      </c>
      <c r="G471" s="59"/>
    </row>
    <row r="472" spans="1:7" x14ac:dyDescent="0.2">
      <c r="A472" s="70" t="s">
        <v>1068</v>
      </c>
      <c r="B472" s="64" t="s">
        <v>377</v>
      </c>
      <c r="C472" s="61" t="s">
        <v>378</v>
      </c>
      <c r="D472" s="60">
        <v>21995</v>
      </c>
      <c r="E472" s="74" t="str">
        <f t="shared" si="7"/>
        <v>C</v>
      </c>
      <c r="G472" s="59"/>
    </row>
    <row r="473" spans="1:7" x14ac:dyDescent="0.2">
      <c r="A473" s="70" t="s">
        <v>1069</v>
      </c>
      <c r="B473" s="64" t="s">
        <v>379</v>
      </c>
      <c r="C473" s="61" t="s">
        <v>380</v>
      </c>
      <c r="D473" s="60">
        <v>21995</v>
      </c>
      <c r="E473" s="74" t="str">
        <f t="shared" si="7"/>
        <v>C</v>
      </c>
      <c r="G473" s="59"/>
    </row>
    <row r="474" spans="1:7" x14ac:dyDescent="0.2">
      <c r="A474" s="70" t="s">
        <v>1070</v>
      </c>
      <c r="B474" s="64" t="s">
        <v>381</v>
      </c>
      <c r="C474" s="61" t="s">
        <v>382</v>
      </c>
      <c r="D474" s="60">
        <v>21995</v>
      </c>
      <c r="E474" s="74" t="str">
        <f t="shared" si="7"/>
        <v>C</v>
      </c>
      <c r="G474" s="59"/>
    </row>
    <row r="475" spans="1:7" x14ac:dyDescent="0.2">
      <c r="A475" s="70" t="s">
        <v>1071</v>
      </c>
      <c r="B475" s="64" t="s">
        <v>383</v>
      </c>
      <c r="C475" s="61" t="s">
        <v>384</v>
      </c>
      <c r="D475" s="60">
        <v>21995</v>
      </c>
      <c r="E475" s="74" t="str">
        <f t="shared" si="7"/>
        <v>C</v>
      </c>
      <c r="G475" s="59"/>
    </row>
    <row r="476" spans="1:7" x14ac:dyDescent="0.2">
      <c r="A476" s="70" t="s">
        <v>1072</v>
      </c>
      <c r="B476" s="64" t="s">
        <v>385</v>
      </c>
      <c r="C476" s="61" t="s">
        <v>386</v>
      </c>
      <c r="D476" s="60">
        <v>21995</v>
      </c>
      <c r="E476" s="74" t="str">
        <f t="shared" si="7"/>
        <v>C</v>
      </c>
      <c r="G476" s="59"/>
    </row>
    <row r="477" spans="1:7" x14ac:dyDescent="0.2">
      <c r="A477" s="70" t="s">
        <v>1073</v>
      </c>
      <c r="B477" s="64" t="s">
        <v>387</v>
      </c>
      <c r="C477" s="61" t="s">
        <v>388</v>
      </c>
      <c r="D477" s="60">
        <v>21995</v>
      </c>
      <c r="E477" s="74" t="str">
        <f t="shared" si="7"/>
        <v>C</v>
      </c>
      <c r="G477" s="59"/>
    </row>
    <row r="478" spans="1:7" x14ac:dyDescent="0.2">
      <c r="A478" s="70" t="s">
        <v>1074</v>
      </c>
      <c r="B478" s="64" t="s">
        <v>389</v>
      </c>
      <c r="C478" s="61" t="s">
        <v>390</v>
      </c>
      <c r="D478" s="60">
        <v>21995</v>
      </c>
      <c r="E478" s="74" t="str">
        <f t="shared" si="7"/>
        <v>C</v>
      </c>
      <c r="G478" s="59"/>
    </row>
    <row r="479" spans="1:7" x14ac:dyDescent="0.2">
      <c r="A479" s="70" t="s">
        <v>1075</v>
      </c>
      <c r="B479" s="64" t="s">
        <v>391</v>
      </c>
      <c r="C479" s="61" t="s">
        <v>392</v>
      </c>
      <c r="D479" s="60">
        <v>21995</v>
      </c>
      <c r="E479" s="74" t="str">
        <f t="shared" si="7"/>
        <v>C</v>
      </c>
      <c r="G479" s="59"/>
    </row>
    <row r="480" spans="1:7" x14ac:dyDescent="0.2">
      <c r="A480" s="70" t="s">
        <v>1076</v>
      </c>
      <c r="B480" s="64" t="s">
        <v>393</v>
      </c>
      <c r="C480" s="61" t="s">
        <v>394</v>
      </c>
      <c r="D480" s="60">
        <v>21995</v>
      </c>
      <c r="E480" s="74" t="str">
        <f t="shared" si="7"/>
        <v>C</v>
      </c>
      <c r="G480" s="59"/>
    </row>
    <row r="481" spans="1:7" x14ac:dyDescent="0.2">
      <c r="A481" s="70" t="s">
        <v>1077</v>
      </c>
      <c r="B481" s="64" t="s">
        <v>395</v>
      </c>
      <c r="C481" s="61" t="s">
        <v>396</v>
      </c>
      <c r="D481" s="60">
        <v>21995</v>
      </c>
      <c r="E481" s="74" t="str">
        <f t="shared" si="7"/>
        <v>C</v>
      </c>
      <c r="G481" s="59"/>
    </row>
    <row r="482" spans="1:7" x14ac:dyDescent="0.2">
      <c r="A482" s="70" t="s">
        <v>1078</v>
      </c>
      <c r="B482" s="64" t="s">
        <v>397</v>
      </c>
      <c r="C482" s="61" t="s">
        <v>398</v>
      </c>
      <c r="D482" s="60">
        <v>21995</v>
      </c>
      <c r="E482" s="74" t="str">
        <f t="shared" si="7"/>
        <v>C</v>
      </c>
      <c r="G482" s="59"/>
    </row>
    <row r="483" spans="1:7" x14ac:dyDescent="0.2">
      <c r="A483" s="70" t="s">
        <v>1079</v>
      </c>
      <c r="B483" s="64" t="s">
        <v>399</v>
      </c>
      <c r="C483" s="61" t="s">
        <v>400</v>
      </c>
      <c r="D483" s="60">
        <v>21995</v>
      </c>
      <c r="E483" s="74" t="str">
        <f t="shared" si="7"/>
        <v>C</v>
      </c>
      <c r="G483" s="59"/>
    </row>
    <row r="484" spans="1:7" x14ac:dyDescent="0.2">
      <c r="A484" s="70" t="s">
        <v>1080</v>
      </c>
      <c r="B484" s="64" t="s">
        <v>401</v>
      </c>
      <c r="C484" s="61" t="s">
        <v>402</v>
      </c>
      <c r="D484" s="60">
        <v>21995</v>
      </c>
      <c r="E484" s="74" t="str">
        <f t="shared" si="7"/>
        <v>C</v>
      </c>
      <c r="G484" s="59"/>
    </row>
    <row r="485" spans="1:7" x14ac:dyDescent="0.2">
      <c r="A485" s="70" t="s">
        <v>1081</v>
      </c>
      <c r="B485" s="64" t="s">
        <v>403</v>
      </c>
      <c r="C485" s="61" t="s">
        <v>404</v>
      </c>
      <c r="D485" s="60">
        <v>21995</v>
      </c>
      <c r="E485" s="74" t="str">
        <f t="shared" si="7"/>
        <v>C</v>
      </c>
      <c r="G485" s="59"/>
    </row>
    <row r="486" spans="1:7" x14ac:dyDescent="0.2">
      <c r="A486" s="70" t="s">
        <v>1082</v>
      </c>
      <c r="B486" s="64" t="s">
        <v>405</v>
      </c>
      <c r="C486" s="61" t="s">
        <v>406</v>
      </c>
      <c r="D486" s="60">
        <v>21995</v>
      </c>
      <c r="E486" s="74" t="str">
        <f t="shared" si="7"/>
        <v>C</v>
      </c>
      <c r="G486" s="59"/>
    </row>
    <row r="487" spans="1:7" x14ac:dyDescent="0.2">
      <c r="A487" s="70" t="s">
        <v>1083</v>
      </c>
      <c r="B487" s="64" t="s">
        <v>407</v>
      </c>
      <c r="C487" s="61" t="s">
        <v>408</v>
      </c>
      <c r="D487" s="60">
        <v>21995</v>
      </c>
      <c r="E487" s="74" t="str">
        <f t="shared" si="7"/>
        <v>C</v>
      </c>
      <c r="G487" s="59"/>
    </row>
    <row r="488" spans="1:7" x14ac:dyDescent="0.2">
      <c r="A488" s="70" t="s">
        <v>1084</v>
      </c>
      <c r="B488" s="64" t="s">
        <v>409</v>
      </c>
      <c r="C488" s="61" t="s">
        <v>410</v>
      </c>
      <c r="D488" s="60">
        <v>21995</v>
      </c>
      <c r="E488" s="74" t="str">
        <f t="shared" si="7"/>
        <v>C</v>
      </c>
      <c r="G488" s="59"/>
    </row>
    <row r="489" spans="1:7" x14ac:dyDescent="0.2">
      <c r="A489" s="70" t="s">
        <v>1085</v>
      </c>
      <c r="B489" s="64" t="s">
        <v>411</v>
      </c>
      <c r="C489" s="61" t="s">
        <v>412</v>
      </c>
      <c r="D489" s="60">
        <v>21995</v>
      </c>
      <c r="E489" s="74" t="str">
        <f t="shared" si="7"/>
        <v>C</v>
      </c>
      <c r="G489" s="59"/>
    </row>
    <row r="490" spans="1:7" x14ac:dyDescent="0.2">
      <c r="A490" s="70" t="s">
        <v>1086</v>
      </c>
      <c r="B490" s="64" t="s">
        <v>413</v>
      </c>
      <c r="C490" s="61" t="s">
        <v>414</v>
      </c>
      <c r="D490" s="60">
        <v>21995</v>
      </c>
      <c r="E490" s="74" t="str">
        <f t="shared" si="7"/>
        <v>C</v>
      </c>
      <c r="G490" s="59"/>
    </row>
    <row r="491" spans="1:7" x14ac:dyDescent="0.2">
      <c r="A491" s="70" t="s">
        <v>1087</v>
      </c>
      <c r="B491" s="64" t="s">
        <v>415</v>
      </c>
      <c r="C491" s="61" t="s">
        <v>416</v>
      </c>
      <c r="D491" s="60">
        <v>21995</v>
      </c>
      <c r="E491" s="74" t="str">
        <f t="shared" si="7"/>
        <v>C</v>
      </c>
      <c r="G491" s="59"/>
    </row>
    <row r="492" spans="1:7" x14ac:dyDescent="0.2">
      <c r="A492" s="70" t="s">
        <v>1088</v>
      </c>
      <c r="B492" s="64" t="s">
        <v>417</v>
      </c>
      <c r="C492" s="61" t="s">
        <v>418</v>
      </c>
      <c r="D492" s="60">
        <v>21995</v>
      </c>
      <c r="E492" s="74" t="str">
        <f t="shared" si="7"/>
        <v>C</v>
      </c>
      <c r="G492" s="59"/>
    </row>
    <row r="493" spans="1:7" x14ac:dyDescent="0.2">
      <c r="A493" s="70" t="s">
        <v>1089</v>
      </c>
      <c r="B493" s="64" t="s">
        <v>419</v>
      </c>
      <c r="C493" s="61" t="s">
        <v>420</v>
      </c>
      <c r="D493" s="60">
        <v>21995</v>
      </c>
      <c r="E493" s="74" t="str">
        <f t="shared" si="7"/>
        <v>C</v>
      </c>
      <c r="G493" s="59"/>
    </row>
    <row r="494" spans="1:7" x14ac:dyDescent="0.2">
      <c r="A494" s="70" t="s">
        <v>1090</v>
      </c>
      <c r="B494" s="64" t="s">
        <v>421</v>
      </c>
      <c r="C494" s="61" t="s">
        <v>422</v>
      </c>
      <c r="D494" s="60">
        <v>21995</v>
      </c>
      <c r="E494" s="74" t="str">
        <f t="shared" si="7"/>
        <v>C</v>
      </c>
      <c r="G494" s="59"/>
    </row>
    <row r="495" spans="1:7" x14ac:dyDescent="0.2">
      <c r="A495" s="70" t="s">
        <v>1091</v>
      </c>
      <c r="B495" s="64" t="s">
        <v>423</v>
      </c>
      <c r="C495" s="61" t="s">
        <v>424</v>
      </c>
      <c r="D495" s="60">
        <v>21995</v>
      </c>
      <c r="E495" s="74" t="str">
        <f t="shared" si="7"/>
        <v>C</v>
      </c>
      <c r="G495" s="59"/>
    </row>
    <row r="496" spans="1:7" x14ac:dyDescent="0.2">
      <c r="A496" s="70" t="s">
        <v>1092</v>
      </c>
      <c r="B496" s="64" t="s">
        <v>425</v>
      </c>
      <c r="C496" s="61" t="s">
        <v>426</v>
      </c>
      <c r="D496" s="60">
        <v>21995</v>
      </c>
      <c r="E496" s="74" t="str">
        <f t="shared" si="7"/>
        <v>C</v>
      </c>
      <c r="G496" s="59"/>
    </row>
    <row r="497" spans="1:7" x14ac:dyDescent="0.2">
      <c r="A497" s="70" t="s">
        <v>1093</v>
      </c>
      <c r="B497" s="64" t="s">
        <v>427</v>
      </c>
      <c r="C497" s="61" t="s">
        <v>428</v>
      </c>
      <c r="D497" s="60">
        <v>21995</v>
      </c>
      <c r="E497" s="74" t="str">
        <f t="shared" si="7"/>
        <v>C</v>
      </c>
      <c r="G497" s="59"/>
    </row>
    <row r="498" spans="1:7" x14ac:dyDescent="0.2">
      <c r="A498" s="70" t="s">
        <v>1094</v>
      </c>
      <c r="B498" s="64" t="s">
        <v>429</v>
      </c>
      <c r="C498" s="61" t="s">
        <v>430</v>
      </c>
      <c r="D498" s="60">
        <v>21995</v>
      </c>
      <c r="E498" s="74" t="str">
        <f t="shared" si="7"/>
        <v>C</v>
      </c>
      <c r="G498" s="59"/>
    </row>
    <row r="499" spans="1:7" x14ac:dyDescent="0.2">
      <c r="A499" s="70" t="s">
        <v>1095</v>
      </c>
      <c r="B499" s="64" t="s">
        <v>431</v>
      </c>
      <c r="C499" s="61" t="s">
        <v>432</v>
      </c>
      <c r="D499" s="60">
        <v>21995</v>
      </c>
      <c r="E499" s="74" t="str">
        <f t="shared" si="7"/>
        <v>C</v>
      </c>
      <c r="G499" s="59"/>
    </row>
    <row r="500" spans="1:7" x14ac:dyDescent="0.2">
      <c r="A500" s="70" t="s">
        <v>1096</v>
      </c>
      <c r="B500" s="64" t="s">
        <v>433</v>
      </c>
      <c r="C500" s="61" t="s">
        <v>434</v>
      </c>
      <c r="D500" s="60">
        <v>21995</v>
      </c>
      <c r="E500" s="74" t="str">
        <f t="shared" si="7"/>
        <v>C</v>
      </c>
      <c r="G500" s="59"/>
    </row>
    <row r="501" spans="1:7" x14ac:dyDescent="0.2">
      <c r="A501" s="70" t="s">
        <v>1097</v>
      </c>
      <c r="B501" s="64" t="s">
        <v>435</v>
      </c>
      <c r="C501" s="61" t="s">
        <v>436</v>
      </c>
      <c r="D501" s="60">
        <v>21995</v>
      </c>
      <c r="E501" s="74" t="str">
        <f t="shared" si="7"/>
        <v>C</v>
      </c>
      <c r="G501" s="59"/>
    </row>
    <row r="502" spans="1:7" x14ac:dyDescent="0.2">
      <c r="A502" s="70" t="s">
        <v>1098</v>
      </c>
      <c r="B502" s="64" t="s">
        <v>437</v>
      </c>
      <c r="C502" s="61" t="s">
        <v>438</v>
      </c>
      <c r="D502" s="60">
        <v>21995</v>
      </c>
      <c r="E502" s="74" t="str">
        <f t="shared" si="7"/>
        <v>C</v>
      </c>
      <c r="G502" s="59"/>
    </row>
    <row r="503" spans="1:7" x14ac:dyDescent="0.2">
      <c r="A503" s="70" t="s">
        <v>1099</v>
      </c>
      <c r="B503" s="64" t="s">
        <v>439</v>
      </c>
      <c r="C503" s="61" t="s">
        <v>440</v>
      </c>
      <c r="D503" s="60">
        <v>21995</v>
      </c>
      <c r="E503" s="74" t="str">
        <f t="shared" si="7"/>
        <v>C</v>
      </c>
      <c r="G503" s="59"/>
    </row>
    <row r="504" spans="1:7" x14ac:dyDescent="0.2">
      <c r="A504" s="70" t="s">
        <v>1100</v>
      </c>
      <c r="B504" s="64" t="s">
        <v>441</v>
      </c>
      <c r="C504" s="61" t="s">
        <v>442</v>
      </c>
      <c r="D504" s="60">
        <v>21995</v>
      </c>
      <c r="E504" s="74" t="str">
        <f t="shared" si="7"/>
        <v>C</v>
      </c>
      <c r="G504" s="59"/>
    </row>
    <row r="505" spans="1:7" x14ac:dyDescent="0.2">
      <c r="A505" s="70" t="s">
        <v>1101</v>
      </c>
      <c r="B505" s="64" t="s">
        <v>443</v>
      </c>
      <c r="C505" s="61" t="s">
        <v>444</v>
      </c>
      <c r="D505" s="60">
        <v>21995</v>
      </c>
      <c r="E505" s="74" t="str">
        <f t="shared" si="7"/>
        <v>C</v>
      </c>
      <c r="G505" s="59"/>
    </row>
    <row r="506" spans="1:7" x14ac:dyDescent="0.2">
      <c r="A506" s="70" t="s">
        <v>1102</v>
      </c>
      <c r="B506" s="64" t="s">
        <v>445</v>
      </c>
      <c r="C506" s="61" t="s">
        <v>446</v>
      </c>
      <c r="D506" s="60">
        <v>21995</v>
      </c>
      <c r="E506" s="74" t="str">
        <f t="shared" si="7"/>
        <v>C</v>
      </c>
      <c r="G506" s="59"/>
    </row>
    <row r="507" spans="1:7" x14ac:dyDescent="0.2">
      <c r="A507" s="70" t="s">
        <v>1103</v>
      </c>
      <c r="B507" s="64" t="s">
        <v>447</v>
      </c>
      <c r="C507" s="61" t="s">
        <v>448</v>
      </c>
      <c r="D507" s="60">
        <v>21995</v>
      </c>
      <c r="E507" s="74" t="str">
        <f t="shared" si="7"/>
        <v>C</v>
      </c>
      <c r="G507" s="59"/>
    </row>
    <row r="508" spans="1:7" x14ac:dyDescent="0.2">
      <c r="A508" s="70" t="s">
        <v>1104</v>
      </c>
      <c r="B508" s="64" t="s">
        <v>449</v>
      </c>
      <c r="C508" s="61" t="s">
        <v>450</v>
      </c>
      <c r="D508" s="60">
        <v>21995</v>
      </c>
      <c r="E508" s="74" t="str">
        <f t="shared" si="7"/>
        <v>C</v>
      </c>
      <c r="G508" s="59"/>
    </row>
    <row r="509" spans="1:7" x14ac:dyDescent="0.2">
      <c r="A509" s="67" t="s">
        <v>1105</v>
      </c>
      <c r="B509" s="49" t="s">
        <v>546</v>
      </c>
      <c r="C509" s="49" t="s">
        <v>547</v>
      </c>
      <c r="D509" s="57">
        <v>1095</v>
      </c>
      <c r="E509" s="74" t="str">
        <f t="shared" si="7"/>
        <v>B</v>
      </c>
      <c r="G509" s="59"/>
    </row>
    <row r="510" spans="1:7" x14ac:dyDescent="0.2">
      <c r="A510" s="67" t="s">
        <v>1106</v>
      </c>
      <c r="B510" s="49" t="s">
        <v>544</v>
      </c>
      <c r="C510" s="49" t="s">
        <v>545</v>
      </c>
      <c r="D510" s="57">
        <v>490</v>
      </c>
      <c r="E510" s="74" t="str">
        <f t="shared" si="7"/>
        <v>A</v>
      </c>
      <c r="G510" s="59"/>
    </row>
    <row r="511" spans="1:7" x14ac:dyDescent="0.2">
      <c r="A511" s="67" t="s">
        <v>1107</v>
      </c>
      <c r="B511" s="49" t="s">
        <v>359</v>
      </c>
      <c r="C511" s="49" t="s">
        <v>360</v>
      </c>
      <c r="D511" s="57">
        <v>325</v>
      </c>
      <c r="E511" s="74" t="str">
        <f t="shared" si="7"/>
        <v>A</v>
      </c>
      <c r="G511" s="59"/>
    </row>
    <row r="512" spans="1:7" x14ac:dyDescent="0.2">
      <c r="A512" s="68" t="s">
        <v>1108</v>
      </c>
      <c r="B512" s="39" t="s">
        <v>500</v>
      </c>
      <c r="C512" s="39" t="s">
        <v>353</v>
      </c>
      <c r="D512" s="38">
        <v>325</v>
      </c>
      <c r="E512" s="74" t="str">
        <f t="shared" si="7"/>
        <v>A</v>
      </c>
      <c r="G512" s="59"/>
    </row>
    <row r="513" spans="1:7" x14ac:dyDescent="0.2">
      <c r="A513" s="68" t="s">
        <v>1109</v>
      </c>
      <c r="B513" s="39" t="s">
        <v>501</v>
      </c>
      <c r="C513" s="39" t="s">
        <v>354</v>
      </c>
      <c r="D513" s="38">
        <v>435</v>
      </c>
      <c r="E513" s="74" t="str">
        <f t="shared" si="7"/>
        <v>A</v>
      </c>
      <c r="G513" s="59"/>
    </row>
    <row r="514" spans="1:7" x14ac:dyDescent="0.2">
      <c r="A514" s="67" t="s">
        <v>1110</v>
      </c>
      <c r="B514" s="49" t="s">
        <v>548</v>
      </c>
      <c r="C514" s="49" t="s">
        <v>549</v>
      </c>
      <c r="D514" s="57">
        <v>4395</v>
      </c>
      <c r="E514" s="74" t="str">
        <f t="shared" si="7"/>
        <v>B</v>
      </c>
      <c r="G514" s="59"/>
    </row>
    <row r="515" spans="1:7" x14ac:dyDescent="0.2">
      <c r="A515" s="67" t="s">
        <v>1111</v>
      </c>
      <c r="B515" s="49" t="s">
        <v>588</v>
      </c>
      <c r="C515" s="49" t="s">
        <v>589</v>
      </c>
      <c r="D515" s="57">
        <v>5495</v>
      </c>
      <c r="E515" s="74" t="str">
        <f t="shared" si="7"/>
        <v>B</v>
      </c>
      <c r="G515" s="59"/>
    </row>
    <row r="516" spans="1:7" x14ac:dyDescent="0.2">
      <c r="A516" s="67" t="s">
        <v>1112</v>
      </c>
      <c r="B516" s="49" t="s">
        <v>1851</v>
      </c>
      <c r="C516" s="49" t="s">
        <v>550</v>
      </c>
      <c r="D516" s="57">
        <v>5495</v>
      </c>
      <c r="E516" s="74" t="str">
        <f t="shared" si="7"/>
        <v>B</v>
      </c>
      <c r="G516" s="59"/>
    </row>
    <row r="517" spans="1:7" x14ac:dyDescent="0.2">
      <c r="A517" s="67" t="s">
        <v>1113</v>
      </c>
      <c r="B517" s="49" t="s">
        <v>1852</v>
      </c>
      <c r="C517" s="49" t="s">
        <v>551</v>
      </c>
      <c r="D517" s="57">
        <v>5495</v>
      </c>
      <c r="E517" s="74" t="str">
        <f t="shared" ref="E517:E580" si="8">VLOOKUP(D517,$G$4:$H$7,2)</f>
        <v>B</v>
      </c>
      <c r="G517" s="59"/>
    </row>
    <row r="518" spans="1:7" x14ac:dyDescent="0.2">
      <c r="A518" s="67" t="s">
        <v>1114</v>
      </c>
      <c r="B518" s="49" t="s">
        <v>1853</v>
      </c>
      <c r="C518" s="49" t="s">
        <v>552</v>
      </c>
      <c r="D518" s="57">
        <v>5495</v>
      </c>
      <c r="E518" s="74" t="str">
        <f t="shared" si="8"/>
        <v>B</v>
      </c>
      <c r="G518" s="59"/>
    </row>
    <row r="519" spans="1:7" x14ac:dyDescent="0.2">
      <c r="A519" s="67" t="s">
        <v>1115</v>
      </c>
      <c r="B519" s="49" t="s">
        <v>1854</v>
      </c>
      <c r="C519" s="49" t="s">
        <v>553</v>
      </c>
      <c r="D519" s="57">
        <v>5495</v>
      </c>
      <c r="E519" s="74" t="str">
        <f t="shared" si="8"/>
        <v>B</v>
      </c>
      <c r="G519" s="59"/>
    </row>
    <row r="520" spans="1:7" x14ac:dyDescent="0.2">
      <c r="A520" s="67" t="s">
        <v>1116</v>
      </c>
      <c r="B520" s="49" t="s">
        <v>1855</v>
      </c>
      <c r="C520" s="49" t="s">
        <v>554</v>
      </c>
      <c r="D520" s="57">
        <v>5495</v>
      </c>
      <c r="E520" s="74" t="str">
        <f t="shared" si="8"/>
        <v>B</v>
      </c>
      <c r="G520" s="59"/>
    </row>
    <row r="521" spans="1:7" x14ac:dyDescent="0.2">
      <c r="A521" s="67" t="s">
        <v>1117</v>
      </c>
      <c r="B521" s="49" t="s">
        <v>1856</v>
      </c>
      <c r="C521" s="49" t="s">
        <v>555</v>
      </c>
      <c r="D521" s="57">
        <v>5495</v>
      </c>
      <c r="E521" s="74" t="str">
        <f t="shared" si="8"/>
        <v>B</v>
      </c>
      <c r="G521" s="59"/>
    </row>
    <row r="522" spans="1:7" x14ac:dyDescent="0.2">
      <c r="A522" s="67" t="s">
        <v>1118</v>
      </c>
      <c r="B522" s="49" t="s">
        <v>1857</v>
      </c>
      <c r="C522" s="49" t="s">
        <v>556</v>
      </c>
      <c r="D522" s="57">
        <v>5495</v>
      </c>
      <c r="E522" s="74" t="str">
        <f t="shared" si="8"/>
        <v>B</v>
      </c>
      <c r="G522" s="59"/>
    </row>
    <row r="523" spans="1:7" x14ac:dyDescent="0.2">
      <c r="A523" s="67" t="s">
        <v>1119</v>
      </c>
      <c r="B523" s="49" t="s">
        <v>1858</v>
      </c>
      <c r="C523" s="49" t="s">
        <v>557</v>
      </c>
      <c r="D523" s="57">
        <v>5495</v>
      </c>
      <c r="E523" s="74" t="str">
        <f t="shared" si="8"/>
        <v>B</v>
      </c>
      <c r="G523" s="59"/>
    </row>
    <row r="524" spans="1:7" x14ac:dyDescent="0.2">
      <c r="A524" s="67" t="s">
        <v>1120</v>
      </c>
      <c r="B524" s="49" t="s">
        <v>363</v>
      </c>
      <c r="C524" s="49" t="s">
        <v>364</v>
      </c>
      <c r="D524" s="57">
        <v>1315</v>
      </c>
      <c r="E524" s="74" t="str">
        <f t="shared" si="8"/>
        <v>B</v>
      </c>
      <c r="G524" s="59"/>
    </row>
    <row r="525" spans="1:7" x14ac:dyDescent="0.2">
      <c r="A525" s="67" t="s">
        <v>1121</v>
      </c>
      <c r="B525" s="49" t="s">
        <v>365</v>
      </c>
      <c r="C525" s="49" t="s">
        <v>366</v>
      </c>
      <c r="D525" s="57">
        <v>1315</v>
      </c>
      <c r="E525" s="74" t="str">
        <f t="shared" si="8"/>
        <v>B</v>
      </c>
      <c r="G525" s="59"/>
    </row>
    <row r="526" spans="1:7" x14ac:dyDescent="0.2">
      <c r="A526" s="67" t="s">
        <v>1122</v>
      </c>
      <c r="B526" s="49" t="s">
        <v>361</v>
      </c>
      <c r="C526" s="49" t="s">
        <v>362</v>
      </c>
      <c r="D526" s="57">
        <v>655</v>
      </c>
      <c r="E526" s="74" t="str">
        <f t="shared" si="8"/>
        <v>A</v>
      </c>
      <c r="G526" s="59"/>
    </row>
    <row r="527" spans="1:7" x14ac:dyDescent="0.2">
      <c r="A527" s="67" t="s">
        <v>1123</v>
      </c>
      <c r="B527" s="49" t="s">
        <v>2297</v>
      </c>
      <c r="C527" s="49" t="s">
        <v>197</v>
      </c>
      <c r="D527" s="57">
        <v>3515</v>
      </c>
      <c r="E527" s="74" t="str">
        <f t="shared" si="8"/>
        <v>B</v>
      </c>
      <c r="G527" s="59"/>
    </row>
    <row r="528" spans="1:7" x14ac:dyDescent="0.2">
      <c r="A528" s="68" t="s">
        <v>1124</v>
      </c>
      <c r="B528" s="39" t="s">
        <v>2298</v>
      </c>
      <c r="C528" s="39" t="s">
        <v>2298</v>
      </c>
      <c r="D528" s="60">
        <v>7145</v>
      </c>
      <c r="E528" s="74" t="str">
        <f t="shared" si="8"/>
        <v>B</v>
      </c>
      <c r="G528" s="59"/>
    </row>
    <row r="529" spans="1:7" x14ac:dyDescent="0.2">
      <c r="A529" s="68" t="s">
        <v>1125</v>
      </c>
      <c r="B529" s="39" t="s">
        <v>2299</v>
      </c>
      <c r="C529" s="39" t="s">
        <v>2299</v>
      </c>
      <c r="D529" s="60">
        <v>20895</v>
      </c>
      <c r="E529" s="74" t="str">
        <f t="shared" si="8"/>
        <v>C</v>
      </c>
      <c r="G529" s="59"/>
    </row>
    <row r="530" spans="1:7" x14ac:dyDescent="0.2">
      <c r="A530" s="68" t="s">
        <v>1126</v>
      </c>
      <c r="B530" s="39" t="s">
        <v>198</v>
      </c>
      <c r="C530" s="39" t="s">
        <v>198</v>
      </c>
      <c r="D530" s="38">
        <v>65</v>
      </c>
      <c r="E530" s="74" t="str">
        <f t="shared" si="8"/>
        <v>A</v>
      </c>
      <c r="G530" s="59"/>
    </row>
    <row r="531" spans="1:7" x14ac:dyDescent="0.2">
      <c r="A531" s="68" t="s">
        <v>1127</v>
      </c>
      <c r="B531" s="39" t="s">
        <v>199</v>
      </c>
      <c r="C531" s="39" t="s">
        <v>199</v>
      </c>
      <c r="D531" s="38">
        <v>105</v>
      </c>
      <c r="E531" s="74" t="str">
        <f t="shared" si="8"/>
        <v>A</v>
      </c>
      <c r="G531" s="59"/>
    </row>
    <row r="532" spans="1:7" x14ac:dyDescent="0.2">
      <c r="A532" s="67" t="s">
        <v>1128</v>
      </c>
      <c r="B532" s="49" t="s">
        <v>2300</v>
      </c>
      <c r="C532" s="49" t="s">
        <v>200</v>
      </c>
      <c r="D532" s="57">
        <v>495</v>
      </c>
      <c r="E532" s="74" t="str">
        <f t="shared" si="8"/>
        <v>A</v>
      </c>
      <c r="G532" s="59"/>
    </row>
    <row r="533" spans="1:7" x14ac:dyDescent="0.2">
      <c r="A533" s="68" t="s">
        <v>1129</v>
      </c>
      <c r="B533" s="39" t="s">
        <v>201</v>
      </c>
      <c r="C533" s="39" t="s">
        <v>201</v>
      </c>
      <c r="D533" s="38">
        <v>1095</v>
      </c>
      <c r="E533" s="74" t="str">
        <f t="shared" si="8"/>
        <v>B</v>
      </c>
      <c r="G533" s="59"/>
    </row>
    <row r="534" spans="1:7" x14ac:dyDescent="0.2">
      <c r="A534" s="68" t="s">
        <v>1130</v>
      </c>
      <c r="B534" s="39" t="s">
        <v>202</v>
      </c>
      <c r="C534" s="39" t="s">
        <v>202</v>
      </c>
      <c r="D534" s="38">
        <v>1095</v>
      </c>
      <c r="E534" s="74" t="str">
        <f t="shared" si="8"/>
        <v>B</v>
      </c>
      <c r="G534" s="59"/>
    </row>
    <row r="535" spans="1:7" x14ac:dyDescent="0.2">
      <c r="A535" s="68" t="s">
        <v>1131</v>
      </c>
      <c r="B535" s="39" t="s">
        <v>203</v>
      </c>
      <c r="C535" s="39" t="s">
        <v>203</v>
      </c>
      <c r="D535" s="38">
        <v>135</v>
      </c>
      <c r="E535" s="74" t="str">
        <f t="shared" si="8"/>
        <v>A</v>
      </c>
      <c r="G535" s="59"/>
    </row>
    <row r="536" spans="1:7" x14ac:dyDescent="0.2">
      <c r="A536" s="68" t="s">
        <v>1132</v>
      </c>
      <c r="B536" s="39" t="s">
        <v>2301</v>
      </c>
      <c r="C536" s="39" t="s">
        <v>204</v>
      </c>
      <c r="D536" s="57">
        <v>7695</v>
      </c>
      <c r="E536" s="74" t="str">
        <f t="shared" si="8"/>
        <v>B</v>
      </c>
      <c r="G536" s="59"/>
    </row>
    <row r="537" spans="1:7" x14ac:dyDescent="0.2">
      <c r="A537" s="70" t="s">
        <v>1133</v>
      </c>
      <c r="B537" s="39" t="s">
        <v>1990</v>
      </c>
      <c r="C537" s="39" t="s">
        <v>1990</v>
      </c>
      <c r="D537" s="57">
        <v>3075</v>
      </c>
      <c r="E537" s="74" t="str">
        <f t="shared" si="8"/>
        <v>B</v>
      </c>
      <c r="G537" s="59"/>
    </row>
    <row r="538" spans="1:7" x14ac:dyDescent="0.2">
      <c r="A538" s="70" t="s">
        <v>1134</v>
      </c>
      <c r="B538" s="39" t="s">
        <v>1991</v>
      </c>
      <c r="C538" s="39" t="s">
        <v>1991</v>
      </c>
      <c r="D538" s="57">
        <v>10555</v>
      </c>
      <c r="E538" s="74" t="str">
        <f t="shared" si="8"/>
        <v>C</v>
      </c>
      <c r="G538" s="59"/>
    </row>
    <row r="539" spans="1:7" x14ac:dyDescent="0.2">
      <c r="A539" s="70" t="s">
        <v>1135</v>
      </c>
      <c r="B539" s="39" t="s">
        <v>1992</v>
      </c>
      <c r="C539" s="39" t="s">
        <v>1992</v>
      </c>
      <c r="D539" s="57">
        <v>16935</v>
      </c>
      <c r="E539" s="74" t="str">
        <f t="shared" si="8"/>
        <v>C</v>
      </c>
      <c r="G539" s="59"/>
    </row>
    <row r="540" spans="1:7" x14ac:dyDescent="0.2">
      <c r="A540" s="70" t="s">
        <v>1136</v>
      </c>
      <c r="B540" s="39" t="s">
        <v>1993</v>
      </c>
      <c r="C540" s="39" t="s">
        <v>1993</v>
      </c>
      <c r="D540" s="57">
        <v>15395</v>
      </c>
      <c r="E540" s="74" t="str">
        <f t="shared" si="8"/>
        <v>C</v>
      </c>
      <c r="G540" s="59"/>
    </row>
    <row r="541" spans="1:7" x14ac:dyDescent="0.2">
      <c r="A541" s="70" t="s">
        <v>1137</v>
      </c>
      <c r="B541" s="39" t="s">
        <v>1994</v>
      </c>
      <c r="C541" s="39" t="s">
        <v>1994</v>
      </c>
      <c r="D541" s="57">
        <v>23095</v>
      </c>
      <c r="E541" s="74" t="str">
        <f t="shared" si="8"/>
        <v>C</v>
      </c>
      <c r="G541" s="59"/>
    </row>
    <row r="542" spans="1:7" x14ac:dyDescent="0.2">
      <c r="A542" s="70" t="s">
        <v>1138</v>
      </c>
      <c r="B542" s="39" t="s">
        <v>1995</v>
      </c>
      <c r="C542" s="39" t="s">
        <v>1995</v>
      </c>
      <c r="D542" s="57">
        <v>34095</v>
      </c>
      <c r="E542" s="74" t="str">
        <f t="shared" si="8"/>
        <v>D</v>
      </c>
      <c r="G542" s="59"/>
    </row>
    <row r="543" spans="1:7" x14ac:dyDescent="0.2">
      <c r="A543" s="70" t="s">
        <v>1139</v>
      </c>
      <c r="B543" s="39" t="s">
        <v>1996</v>
      </c>
      <c r="C543" s="39" t="s">
        <v>1996</v>
      </c>
      <c r="D543" s="57">
        <v>39265</v>
      </c>
      <c r="E543" s="74" t="str">
        <f t="shared" si="8"/>
        <v>D</v>
      </c>
      <c r="G543" s="59"/>
    </row>
    <row r="544" spans="1:7" x14ac:dyDescent="0.2">
      <c r="A544" s="70" t="s">
        <v>1140</v>
      </c>
      <c r="B544" s="39" t="s">
        <v>1997</v>
      </c>
      <c r="C544" s="39" t="s">
        <v>1997</v>
      </c>
      <c r="D544" s="57">
        <v>55655</v>
      </c>
      <c r="E544" s="74" t="str">
        <f t="shared" si="8"/>
        <v>D</v>
      </c>
      <c r="G544" s="59"/>
    </row>
    <row r="545" spans="1:7" x14ac:dyDescent="0.2">
      <c r="A545" s="68" t="s">
        <v>1141</v>
      </c>
      <c r="B545" s="39" t="s">
        <v>1998</v>
      </c>
      <c r="C545" s="39" t="s">
        <v>1998</v>
      </c>
      <c r="D545" s="38">
        <v>575</v>
      </c>
      <c r="E545" s="74" t="str">
        <f t="shared" si="8"/>
        <v>A</v>
      </c>
      <c r="G545" s="59"/>
    </row>
    <row r="546" spans="1:7" x14ac:dyDescent="0.2">
      <c r="A546" s="70" t="s">
        <v>1142</v>
      </c>
      <c r="B546" s="39" t="s">
        <v>1999</v>
      </c>
      <c r="C546" s="39" t="s">
        <v>2000</v>
      </c>
      <c r="D546" s="57">
        <v>765</v>
      </c>
      <c r="E546" s="74" t="str">
        <f t="shared" si="8"/>
        <v>A</v>
      </c>
      <c r="G546" s="59"/>
    </row>
    <row r="547" spans="1:7" x14ac:dyDescent="0.2">
      <c r="A547" s="70" t="s">
        <v>1143</v>
      </c>
      <c r="B547" s="39" t="s">
        <v>2001</v>
      </c>
      <c r="C547" s="39" t="s">
        <v>2002</v>
      </c>
      <c r="D547" s="57">
        <v>985</v>
      </c>
      <c r="E547" s="74" t="str">
        <f t="shared" si="8"/>
        <v>A</v>
      </c>
      <c r="G547" s="59"/>
    </row>
    <row r="548" spans="1:7" x14ac:dyDescent="0.2">
      <c r="A548" s="68" t="s">
        <v>1144</v>
      </c>
      <c r="B548" s="39" t="s">
        <v>2003</v>
      </c>
      <c r="C548" s="39" t="s">
        <v>2003</v>
      </c>
      <c r="D548" s="38">
        <v>2415</v>
      </c>
      <c r="E548" s="74" t="str">
        <f t="shared" si="8"/>
        <v>B</v>
      </c>
      <c r="G548" s="59"/>
    </row>
    <row r="549" spans="1:7" x14ac:dyDescent="0.2">
      <c r="A549" s="68" t="s">
        <v>1145</v>
      </c>
      <c r="B549" s="39" t="s">
        <v>2004</v>
      </c>
      <c r="C549" s="39" t="s">
        <v>2004</v>
      </c>
      <c r="D549" s="38">
        <v>2285</v>
      </c>
      <c r="E549" s="74" t="str">
        <f t="shared" si="8"/>
        <v>B</v>
      </c>
      <c r="G549" s="59"/>
    </row>
    <row r="550" spans="1:7" x14ac:dyDescent="0.2">
      <c r="A550" s="72" t="s">
        <v>1146</v>
      </c>
      <c r="B550" s="39" t="s">
        <v>2005</v>
      </c>
      <c r="C550" s="39" t="s">
        <v>2005</v>
      </c>
      <c r="D550" s="57">
        <v>175</v>
      </c>
      <c r="E550" s="74" t="str">
        <f t="shared" si="8"/>
        <v>A</v>
      </c>
      <c r="G550" s="59"/>
    </row>
    <row r="551" spans="1:7" x14ac:dyDescent="0.2">
      <c r="A551" s="72" t="s">
        <v>1147</v>
      </c>
      <c r="B551" s="39" t="s">
        <v>2006</v>
      </c>
      <c r="C551" s="39" t="s">
        <v>2006</v>
      </c>
      <c r="D551" s="57">
        <v>215</v>
      </c>
      <c r="E551" s="74" t="str">
        <f t="shared" si="8"/>
        <v>A</v>
      </c>
      <c r="G551" s="59"/>
    </row>
    <row r="552" spans="1:7" x14ac:dyDescent="0.2">
      <c r="A552" s="72" t="s">
        <v>1148</v>
      </c>
      <c r="B552" s="39" t="s">
        <v>2007</v>
      </c>
      <c r="C552" s="39" t="s">
        <v>2007</v>
      </c>
      <c r="D552" s="57">
        <v>250</v>
      </c>
      <c r="E552" s="74" t="str">
        <f t="shared" si="8"/>
        <v>A</v>
      </c>
      <c r="G552" s="59"/>
    </row>
    <row r="553" spans="1:7" x14ac:dyDescent="0.2">
      <c r="A553" s="72" t="s">
        <v>1149</v>
      </c>
      <c r="B553" s="39" t="s">
        <v>2008</v>
      </c>
      <c r="C553" s="39" t="s">
        <v>2008</v>
      </c>
      <c r="D553" s="57">
        <v>310</v>
      </c>
      <c r="E553" s="74" t="str">
        <f t="shared" si="8"/>
        <v>A</v>
      </c>
      <c r="G553" s="59"/>
    </row>
    <row r="554" spans="1:7" x14ac:dyDescent="0.2">
      <c r="A554" s="73" t="s">
        <v>1150</v>
      </c>
      <c r="B554" s="65" t="s">
        <v>296</v>
      </c>
      <c r="C554" s="65" t="s">
        <v>296</v>
      </c>
      <c r="D554" s="57">
        <v>65</v>
      </c>
      <c r="E554" s="74" t="str">
        <f t="shared" si="8"/>
        <v>A</v>
      </c>
      <c r="G554" s="59"/>
    </row>
    <row r="555" spans="1:7" x14ac:dyDescent="0.2">
      <c r="A555" s="72" t="s">
        <v>1151</v>
      </c>
      <c r="B555" s="39" t="s">
        <v>2009</v>
      </c>
      <c r="C555" s="39" t="s">
        <v>2009</v>
      </c>
      <c r="D555" s="57">
        <v>130</v>
      </c>
      <c r="E555" s="74" t="str">
        <f t="shared" si="8"/>
        <v>A</v>
      </c>
      <c r="G555" s="59"/>
    </row>
    <row r="556" spans="1:7" x14ac:dyDescent="0.2">
      <c r="A556" s="72" t="s">
        <v>1152</v>
      </c>
      <c r="B556" s="39" t="s">
        <v>2010</v>
      </c>
      <c r="C556" s="39" t="s">
        <v>2010</v>
      </c>
      <c r="D556" s="57">
        <v>140</v>
      </c>
      <c r="E556" s="74" t="str">
        <f t="shared" si="8"/>
        <v>A</v>
      </c>
      <c r="G556" s="59"/>
    </row>
    <row r="557" spans="1:7" x14ac:dyDescent="0.2">
      <c r="A557" s="72" t="s">
        <v>1153</v>
      </c>
      <c r="B557" s="39" t="s">
        <v>2011</v>
      </c>
      <c r="C557" s="39" t="s">
        <v>2011</v>
      </c>
      <c r="D557" s="57">
        <v>195</v>
      </c>
      <c r="E557" s="74" t="str">
        <f t="shared" si="8"/>
        <v>A</v>
      </c>
      <c r="G557" s="59"/>
    </row>
    <row r="558" spans="1:7" x14ac:dyDescent="0.2">
      <c r="A558" s="72" t="s">
        <v>1154</v>
      </c>
      <c r="B558" s="39" t="s">
        <v>2012</v>
      </c>
      <c r="C558" s="39" t="s">
        <v>2012</v>
      </c>
      <c r="D558" s="57">
        <v>22</v>
      </c>
      <c r="E558" s="74" t="str">
        <f t="shared" si="8"/>
        <v>A</v>
      </c>
      <c r="G558" s="59"/>
    </row>
    <row r="559" spans="1:7" x14ac:dyDescent="0.2">
      <c r="A559" s="72" t="s">
        <v>1155</v>
      </c>
      <c r="B559" s="39" t="s">
        <v>2013</v>
      </c>
      <c r="C559" s="39" t="s">
        <v>2013</v>
      </c>
      <c r="D559" s="57">
        <v>77</v>
      </c>
      <c r="E559" s="74" t="str">
        <f t="shared" si="8"/>
        <v>A</v>
      </c>
      <c r="G559" s="59"/>
    </row>
    <row r="560" spans="1:7" x14ac:dyDescent="0.2">
      <c r="A560" s="68" t="s">
        <v>1156</v>
      </c>
      <c r="B560" s="61" t="s">
        <v>2014</v>
      </c>
      <c r="C560" s="61" t="s">
        <v>2014</v>
      </c>
      <c r="D560" s="57">
        <v>8795</v>
      </c>
      <c r="E560" s="74" t="str">
        <f t="shared" si="8"/>
        <v>B</v>
      </c>
      <c r="G560" s="59"/>
    </row>
    <row r="561" spans="1:7" x14ac:dyDescent="0.2">
      <c r="A561" s="67" t="s">
        <v>1157</v>
      </c>
      <c r="B561" s="49" t="s">
        <v>297</v>
      </c>
      <c r="C561" s="49" t="s">
        <v>298</v>
      </c>
      <c r="D561" s="57">
        <v>710</v>
      </c>
      <c r="E561" s="74" t="str">
        <f t="shared" si="8"/>
        <v>A</v>
      </c>
      <c r="G561" s="59"/>
    </row>
    <row r="562" spans="1:7" x14ac:dyDescent="0.2">
      <c r="A562" s="67" t="s">
        <v>1158</v>
      </c>
      <c r="B562" s="49" t="s">
        <v>297</v>
      </c>
      <c r="C562" s="49" t="s">
        <v>298</v>
      </c>
      <c r="D562" s="57">
        <v>710</v>
      </c>
      <c r="E562" s="74" t="str">
        <f t="shared" si="8"/>
        <v>A</v>
      </c>
      <c r="G562" s="59"/>
    </row>
    <row r="563" spans="1:7" x14ac:dyDescent="0.2">
      <c r="A563" s="67" t="s">
        <v>1159</v>
      </c>
      <c r="B563" s="49" t="s">
        <v>297</v>
      </c>
      <c r="C563" s="49" t="s">
        <v>298</v>
      </c>
      <c r="D563" s="57">
        <v>710</v>
      </c>
      <c r="E563" s="74" t="str">
        <f t="shared" si="8"/>
        <v>A</v>
      </c>
      <c r="G563" s="59"/>
    </row>
    <row r="564" spans="1:7" x14ac:dyDescent="0.2">
      <c r="A564" s="67" t="s">
        <v>1160</v>
      </c>
      <c r="B564" s="49" t="s">
        <v>297</v>
      </c>
      <c r="C564" s="49" t="s">
        <v>298</v>
      </c>
      <c r="D564" s="57">
        <v>710</v>
      </c>
      <c r="E564" s="74" t="str">
        <f t="shared" si="8"/>
        <v>A</v>
      </c>
      <c r="G564" s="59"/>
    </row>
    <row r="565" spans="1:7" x14ac:dyDescent="0.2">
      <c r="A565" s="67" t="s">
        <v>1161</v>
      </c>
      <c r="B565" s="49" t="s">
        <v>297</v>
      </c>
      <c r="C565" s="49" t="s">
        <v>298</v>
      </c>
      <c r="D565" s="57">
        <v>710</v>
      </c>
      <c r="E565" s="74" t="str">
        <f t="shared" si="8"/>
        <v>A</v>
      </c>
      <c r="G565" s="59"/>
    </row>
    <row r="566" spans="1:7" x14ac:dyDescent="0.2">
      <c r="A566" s="67" t="s">
        <v>1162</v>
      </c>
      <c r="B566" s="49" t="s">
        <v>297</v>
      </c>
      <c r="C566" s="49" t="s">
        <v>298</v>
      </c>
      <c r="D566" s="57">
        <v>710</v>
      </c>
      <c r="E566" s="74" t="str">
        <f t="shared" si="8"/>
        <v>A</v>
      </c>
      <c r="G566" s="59"/>
    </row>
    <row r="567" spans="1:7" x14ac:dyDescent="0.2">
      <c r="A567" s="67" t="s">
        <v>1163</v>
      </c>
      <c r="B567" s="49" t="s">
        <v>2015</v>
      </c>
      <c r="C567" s="49" t="s">
        <v>299</v>
      </c>
      <c r="D567" s="57">
        <v>195</v>
      </c>
      <c r="E567" s="74" t="str">
        <f t="shared" si="8"/>
        <v>A</v>
      </c>
      <c r="G567" s="59"/>
    </row>
    <row r="568" spans="1:7" x14ac:dyDescent="0.2">
      <c r="A568" s="67" t="s">
        <v>1164</v>
      </c>
      <c r="B568" s="49" t="s">
        <v>2016</v>
      </c>
      <c r="C568" s="49" t="s">
        <v>2016</v>
      </c>
      <c r="D568" s="57">
        <v>215</v>
      </c>
      <c r="E568" s="74" t="str">
        <f t="shared" si="8"/>
        <v>A</v>
      </c>
      <c r="G568" s="59"/>
    </row>
    <row r="569" spans="1:7" x14ac:dyDescent="0.2">
      <c r="A569" s="67" t="s">
        <v>1165</v>
      </c>
      <c r="B569" s="49" t="s">
        <v>2017</v>
      </c>
      <c r="C569" s="49" t="s">
        <v>300</v>
      </c>
      <c r="D569" s="57">
        <v>140</v>
      </c>
      <c r="E569" s="74" t="str">
        <f t="shared" si="8"/>
        <v>A</v>
      </c>
      <c r="G569" s="59"/>
    </row>
    <row r="570" spans="1:7" x14ac:dyDescent="0.2">
      <c r="A570" s="67" t="s">
        <v>1166</v>
      </c>
      <c r="B570" s="49" t="s">
        <v>2018</v>
      </c>
      <c r="C570" s="49" t="s">
        <v>301</v>
      </c>
      <c r="D570" s="57">
        <v>765</v>
      </c>
      <c r="E570" s="74" t="str">
        <f t="shared" si="8"/>
        <v>A</v>
      </c>
      <c r="G570" s="59"/>
    </row>
    <row r="571" spans="1:7" x14ac:dyDescent="0.2">
      <c r="A571" s="67" t="s">
        <v>1167</v>
      </c>
      <c r="B571" s="49" t="s">
        <v>2019</v>
      </c>
      <c r="C571" s="49" t="s">
        <v>2019</v>
      </c>
      <c r="D571" s="57">
        <v>35</v>
      </c>
      <c r="E571" s="74" t="str">
        <f t="shared" si="8"/>
        <v>A</v>
      </c>
      <c r="G571" s="59"/>
    </row>
    <row r="572" spans="1:7" x14ac:dyDescent="0.2">
      <c r="A572" s="67" t="s">
        <v>1168</v>
      </c>
      <c r="B572" s="49" t="s">
        <v>302</v>
      </c>
      <c r="C572" s="49" t="s">
        <v>303</v>
      </c>
      <c r="D572" s="57">
        <v>38495</v>
      </c>
      <c r="E572" s="74" t="str">
        <f t="shared" si="8"/>
        <v>D</v>
      </c>
      <c r="G572" s="59"/>
    </row>
    <row r="573" spans="1:7" x14ac:dyDescent="0.2">
      <c r="A573" s="67" t="s">
        <v>1169</v>
      </c>
      <c r="B573" s="49" t="s">
        <v>304</v>
      </c>
      <c r="C573" s="49" t="s">
        <v>304</v>
      </c>
      <c r="D573" s="57">
        <v>28595</v>
      </c>
      <c r="E573" s="74" t="str">
        <f t="shared" si="8"/>
        <v>D</v>
      </c>
      <c r="G573" s="59"/>
    </row>
    <row r="574" spans="1:7" x14ac:dyDescent="0.2">
      <c r="A574" s="67" t="s">
        <v>1170</v>
      </c>
      <c r="B574" s="49" t="s">
        <v>305</v>
      </c>
      <c r="C574" s="49" t="s">
        <v>305</v>
      </c>
      <c r="D574" s="57">
        <v>18695</v>
      </c>
      <c r="E574" s="74" t="str">
        <f t="shared" si="8"/>
        <v>C</v>
      </c>
      <c r="G574" s="59"/>
    </row>
    <row r="575" spans="1:7" x14ac:dyDescent="0.2">
      <c r="A575" s="67" t="s">
        <v>1171</v>
      </c>
      <c r="B575" s="49" t="s">
        <v>2020</v>
      </c>
      <c r="C575" s="49" t="s">
        <v>2020</v>
      </c>
      <c r="D575" s="57">
        <v>40395</v>
      </c>
      <c r="E575" s="74" t="str">
        <f t="shared" si="8"/>
        <v>D</v>
      </c>
      <c r="G575" s="59"/>
    </row>
    <row r="576" spans="1:7" x14ac:dyDescent="0.2">
      <c r="A576" s="67" t="s">
        <v>1172</v>
      </c>
      <c r="B576" s="49" t="s">
        <v>2021</v>
      </c>
      <c r="C576" s="49" t="s">
        <v>2021</v>
      </c>
      <c r="D576" s="57">
        <v>29995</v>
      </c>
      <c r="E576" s="74" t="str">
        <f t="shared" si="8"/>
        <v>D</v>
      </c>
      <c r="G576" s="59"/>
    </row>
    <row r="577" spans="1:7" x14ac:dyDescent="0.2">
      <c r="A577" s="67" t="s">
        <v>1173</v>
      </c>
      <c r="B577" s="49" t="s">
        <v>2022</v>
      </c>
      <c r="C577" s="49" t="s">
        <v>2022</v>
      </c>
      <c r="D577" s="57">
        <v>19595</v>
      </c>
      <c r="E577" s="74" t="str">
        <f t="shared" si="8"/>
        <v>C</v>
      </c>
      <c r="G577" s="59"/>
    </row>
    <row r="578" spans="1:7" x14ac:dyDescent="0.2">
      <c r="A578" s="67" t="s">
        <v>1174</v>
      </c>
      <c r="B578" s="49" t="s">
        <v>2023</v>
      </c>
      <c r="C578" s="49" t="s">
        <v>2023</v>
      </c>
      <c r="D578" s="57">
        <v>7695</v>
      </c>
      <c r="E578" s="74" t="str">
        <f t="shared" si="8"/>
        <v>B</v>
      </c>
      <c r="G578" s="59"/>
    </row>
    <row r="579" spans="1:7" x14ac:dyDescent="0.2">
      <c r="A579" s="67" t="s">
        <v>1175</v>
      </c>
      <c r="B579" s="49" t="s">
        <v>2024</v>
      </c>
      <c r="C579" s="49" t="s">
        <v>2025</v>
      </c>
      <c r="D579" s="57">
        <v>8795</v>
      </c>
      <c r="E579" s="74" t="str">
        <f t="shared" si="8"/>
        <v>B</v>
      </c>
      <c r="G579" s="59"/>
    </row>
    <row r="580" spans="1:7" x14ac:dyDescent="0.2">
      <c r="A580" s="67" t="s">
        <v>1176</v>
      </c>
      <c r="B580" s="49" t="s">
        <v>2026</v>
      </c>
      <c r="C580" s="49" t="s">
        <v>306</v>
      </c>
      <c r="D580" s="57">
        <v>8245</v>
      </c>
      <c r="E580" s="74" t="str">
        <f t="shared" si="8"/>
        <v>B</v>
      </c>
      <c r="G580" s="59"/>
    </row>
    <row r="581" spans="1:7" x14ac:dyDescent="0.2">
      <c r="A581" s="67" t="s">
        <v>1177</v>
      </c>
      <c r="B581" s="49" t="s">
        <v>2027</v>
      </c>
      <c r="C581" s="49" t="s">
        <v>307</v>
      </c>
      <c r="D581" s="57">
        <v>3845</v>
      </c>
      <c r="E581" s="74" t="str">
        <f t="shared" ref="E581:E644" si="9">VLOOKUP(D581,$G$4:$H$7,2)</f>
        <v>B</v>
      </c>
      <c r="G581" s="59"/>
    </row>
    <row r="582" spans="1:7" x14ac:dyDescent="0.2">
      <c r="A582" s="67" t="s">
        <v>1178</v>
      </c>
      <c r="B582" s="49" t="s">
        <v>2028</v>
      </c>
      <c r="C582" s="49" t="s">
        <v>308</v>
      </c>
      <c r="D582" s="57">
        <v>1645</v>
      </c>
      <c r="E582" s="74" t="str">
        <f t="shared" si="9"/>
        <v>B</v>
      </c>
      <c r="G582" s="59"/>
    </row>
    <row r="583" spans="1:7" x14ac:dyDescent="0.2">
      <c r="A583" s="67" t="s">
        <v>1179</v>
      </c>
      <c r="B583" s="49" t="s">
        <v>507</v>
      </c>
      <c r="C583" s="49" t="s">
        <v>507</v>
      </c>
      <c r="D583" s="57">
        <v>1645</v>
      </c>
      <c r="E583" s="74" t="str">
        <f t="shared" si="9"/>
        <v>B</v>
      </c>
      <c r="G583" s="59"/>
    </row>
    <row r="584" spans="1:7" x14ac:dyDescent="0.2">
      <c r="A584" s="67" t="s">
        <v>1180</v>
      </c>
      <c r="B584" s="49" t="s">
        <v>309</v>
      </c>
      <c r="C584" s="49" t="s">
        <v>309</v>
      </c>
      <c r="D584" s="57">
        <v>2195</v>
      </c>
      <c r="E584" s="74" t="str">
        <f t="shared" si="9"/>
        <v>B</v>
      </c>
      <c r="G584" s="59"/>
    </row>
    <row r="585" spans="1:7" x14ac:dyDescent="0.2">
      <c r="A585" s="67" t="s">
        <v>1181</v>
      </c>
      <c r="B585" s="49" t="s">
        <v>310</v>
      </c>
      <c r="C585" s="49" t="s">
        <v>310</v>
      </c>
      <c r="D585" s="57">
        <v>2195</v>
      </c>
      <c r="E585" s="74" t="str">
        <f t="shared" si="9"/>
        <v>B</v>
      </c>
      <c r="G585" s="59"/>
    </row>
    <row r="586" spans="1:7" x14ac:dyDescent="0.2">
      <c r="A586" s="67" t="s">
        <v>1182</v>
      </c>
      <c r="B586" s="49" t="s">
        <v>2029</v>
      </c>
      <c r="C586" s="49" t="s">
        <v>311</v>
      </c>
      <c r="D586" s="57">
        <v>3295</v>
      </c>
      <c r="E586" s="74" t="str">
        <f t="shared" si="9"/>
        <v>B</v>
      </c>
      <c r="G586" s="59"/>
    </row>
    <row r="587" spans="1:7" x14ac:dyDescent="0.2">
      <c r="A587" s="67" t="s">
        <v>1183</v>
      </c>
      <c r="B587" s="49" t="s">
        <v>2030</v>
      </c>
      <c r="C587" s="49" t="s">
        <v>312</v>
      </c>
      <c r="D587" s="57">
        <v>3295</v>
      </c>
      <c r="E587" s="74" t="str">
        <f t="shared" si="9"/>
        <v>B</v>
      </c>
      <c r="G587" s="59"/>
    </row>
    <row r="588" spans="1:7" x14ac:dyDescent="0.2">
      <c r="A588" s="67" t="s">
        <v>1184</v>
      </c>
      <c r="B588" s="49" t="s">
        <v>2031</v>
      </c>
      <c r="C588" s="49" t="s">
        <v>2031</v>
      </c>
      <c r="D588" s="57">
        <v>17595</v>
      </c>
      <c r="E588" s="74" t="str">
        <f t="shared" si="9"/>
        <v>C</v>
      </c>
      <c r="G588" s="59"/>
    </row>
    <row r="589" spans="1:7" x14ac:dyDescent="0.2">
      <c r="A589" s="67" t="s">
        <v>1185</v>
      </c>
      <c r="B589" s="49" t="s">
        <v>2032</v>
      </c>
      <c r="C589" s="49" t="s">
        <v>2032</v>
      </c>
      <c r="D589" s="57">
        <v>10445</v>
      </c>
      <c r="E589" s="74" t="str">
        <f t="shared" si="9"/>
        <v>C</v>
      </c>
      <c r="G589" s="59"/>
    </row>
    <row r="590" spans="1:7" x14ac:dyDescent="0.2">
      <c r="A590" s="67" t="s">
        <v>1186</v>
      </c>
      <c r="B590" s="49" t="s">
        <v>2033</v>
      </c>
      <c r="C590" s="49" t="s">
        <v>2033</v>
      </c>
      <c r="D590" s="57">
        <v>9895</v>
      </c>
      <c r="E590" s="74" t="str">
        <f t="shared" si="9"/>
        <v>B</v>
      </c>
      <c r="G590" s="59"/>
    </row>
    <row r="591" spans="1:7" x14ac:dyDescent="0.2">
      <c r="A591" s="67" t="s">
        <v>1187</v>
      </c>
      <c r="B591" s="49" t="s">
        <v>2034</v>
      </c>
      <c r="C591" s="49" t="s">
        <v>2034</v>
      </c>
      <c r="D591" s="57">
        <v>8795</v>
      </c>
      <c r="E591" s="74" t="str">
        <f t="shared" si="9"/>
        <v>B</v>
      </c>
      <c r="G591" s="59"/>
    </row>
    <row r="592" spans="1:7" x14ac:dyDescent="0.2">
      <c r="A592" s="67" t="s">
        <v>1188</v>
      </c>
      <c r="B592" s="49" t="s">
        <v>2302</v>
      </c>
      <c r="C592" s="49" t="s">
        <v>2302</v>
      </c>
      <c r="D592" s="57">
        <v>17595</v>
      </c>
      <c r="E592" s="74" t="str">
        <f t="shared" si="9"/>
        <v>C</v>
      </c>
      <c r="G592" s="59"/>
    </row>
    <row r="593" spans="1:7" x14ac:dyDescent="0.2">
      <c r="A593" s="67" t="s">
        <v>1189</v>
      </c>
      <c r="B593" s="49" t="s">
        <v>2035</v>
      </c>
      <c r="C593" s="49" t="s">
        <v>2035</v>
      </c>
      <c r="D593" s="57">
        <v>10995</v>
      </c>
      <c r="E593" s="74" t="str">
        <f t="shared" si="9"/>
        <v>C</v>
      </c>
      <c r="G593" s="59"/>
    </row>
    <row r="594" spans="1:7" x14ac:dyDescent="0.2">
      <c r="A594" s="67" t="s">
        <v>1190</v>
      </c>
      <c r="B594" s="49" t="s">
        <v>529</v>
      </c>
      <c r="C594" s="49" t="s">
        <v>530</v>
      </c>
      <c r="D594" s="57">
        <v>1370</v>
      </c>
      <c r="E594" s="74" t="str">
        <f t="shared" si="9"/>
        <v>B</v>
      </c>
      <c r="G594" s="59"/>
    </row>
    <row r="595" spans="1:7" x14ac:dyDescent="0.2">
      <c r="A595" s="67" t="s">
        <v>1191</v>
      </c>
      <c r="B595" s="49" t="s">
        <v>531</v>
      </c>
      <c r="C595" s="49" t="s">
        <v>532</v>
      </c>
      <c r="D595" s="57">
        <v>2745</v>
      </c>
      <c r="E595" s="74" t="str">
        <f t="shared" si="9"/>
        <v>B</v>
      </c>
      <c r="G595" s="59"/>
    </row>
    <row r="596" spans="1:7" x14ac:dyDescent="0.2">
      <c r="A596" s="67" t="s">
        <v>1192</v>
      </c>
      <c r="B596" s="49" t="s">
        <v>533</v>
      </c>
      <c r="C596" s="49" t="s">
        <v>534</v>
      </c>
      <c r="D596" s="57">
        <v>10995</v>
      </c>
      <c r="E596" s="74" t="str">
        <f t="shared" si="9"/>
        <v>C</v>
      </c>
      <c r="G596" s="59"/>
    </row>
    <row r="597" spans="1:7" x14ac:dyDescent="0.2">
      <c r="A597" s="67" t="s">
        <v>1193</v>
      </c>
      <c r="B597" s="49" t="s">
        <v>369</v>
      </c>
      <c r="C597" s="49" t="s">
        <v>370</v>
      </c>
      <c r="D597" s="60">
        <v>17595</v>
      </c>
      <c r="E597" s="74" t="str">
        <f t="shared" si="9"/>
        <v>C</v>
      </c>
      <c r="G597" s="59"/>
    </row>
    <row r="598" spans="1:7" x14ac:dyDescent="0.2">
      <c r="A598" s="68" t="s">
        <v>1194</v>
      </c>
      <c r="B598" s="39" t="s">
        <v>471</v>
      </c>
      <c r="C598" s="39" t="s">
        <v>368</v>
      </c>
      <c r="D598" s="57">
        <v>1095</v>
      </c>
      <c r="E598" s="74" t="str">
        <f t="shared" si="9"/>
        <v>B</v>
      </c>
      <c r="G598" s="59"/>
    </row>
    <row r="599" spans="1:7" x14ac:dyDescent="0.2">
      <c r="A599" s="70" t="s">
        <v>1195</v>
      </c>
      <c r="B599" s="64" t="s">
        <v>371</v>
      </c>
      <c r="C599" s="66" t="s">
        <v>372</v>
      </c>
      <c r="D599" s="60">
        <v>21995</v>
      </c>
      <c r="E599" s="74" t="str">
        <f t="shared" si="9"/>
        <v>C</v>
      </c>
      <c r="G599" s="59"/>
    </row>
    <row r="600" spans="1:7" x14ac:dyDescent="0.2">
      <c r="A600" s="70" t="s">
        <v>1196</v>
      </c>
      <c r="B600" s="64" t="s">
        <v>373</v>
      </c>
      <c r="C600" s="61" t="s">
        <v>374</v>
      </c>
      <c r="D600" s="60">
        <v>21995</v>
      </c>
      <c r="E600" s="74" t="str">
        <f t="shared" si="9"/>
        <v>C</v>
      </c>
      <c r="G600" s="59"/>
    </row>
    <row r="601" spans="1:7" x14ac:dyDescent="0.2">
      <c r="A601" s="70" t="s">
        <v>1197</v>
      </c>
      <c r="B601" s="64" t="s">
        <v>375</v>
      </c>
      <c r="C601" s="61" t="s">
        <v>376</v>
      </c>
      <c r="D601" s="60">
        <v>21995</v>
      </c>
      <c r="E601" s="74" t="str">
        <f t="shared" si="9"/>
        <v>C</v>
      </c>
      <c r="G601" s="59"/>
    </row>
    <row r="602" spans="1:7" x14ac:dyDescent="0.2">
      <c r="A602" s="70" t="s">
        <v>1198</v>
      </c>
      <c r="B602" s="64" t="s">
        <v>377</v>
      </c>
      <c r="C602" s="61" t="s">
        <v>378</v>
      </c>
      <c r="D602" s="60">
        <v>21995</v>
      </c>
      <c r="E602" s="74" t="str">
        <f t="shared" si="9"/>
        <v>C</v>
      </c>
      <c r="G602" s="59"/>
    </row>
    <row r="603" spans="1:7" x14ac:dyDescent="0.2">
      <c r="A603" s="70" t="s">
        <v>1199</v>
      </c>
      <c r="B603" s="64" t="s">
        <v>379</v>
      </c>
      <c r="C603" s="61" t="s">
        <v>380</v>
      </c>
      <c r="D603" s="60">
        <v>21995</v>
      </c>
      <c r="E603" s="74" t="str">
        <f t="shared" si="9"/>
        <v>C</v>
      </c>
      <c r="G603" s="59"/>
    </row>
    <row r="604" spans="1:7" x14ac:dyDescent="0.2">
      <c r="A604" s="70" t="s">
        <v>1200</v>
      </c>
      <c r="B604" s="64" t="s">
        <v>381</v>
      </c>
      <c r="C604" s="61" t="s">
        <v>382</v>
      </c>
      <c r="D604" s="60">
        <v>21995</v>
      </c>
      <c r="E604" s="74" t="str">
        <f t="shared" si="9"/>
        <v>C</v>
      </c>
      <c r="G604" s="59"/>
    </row>
    <row r="605" spans="1:7" x14ac:dyDescent="0.2">
      <c r="A605" s="70" t="s">
        <v>1201</v>
      </c>
      <c r="B605" s="64" t="s">
        <v>383</v>
      </c>
      <c r="C605" s="61" t="s">
        <v>384</v>
      </c>
      <c r="D605" s="60">
        <v>21995</v>
      </c>
      <c r="E605" s="74" t="str">
        <f t="shared" si="9"/>
        <v>C</v>
      </c>
      <c r="G605" s="59"/>
    </row>
    <row r="606" spans="1:7" x14ac:dyDescent="0.2">
      <c r="A606" s="70" t="s">
        <v>1202</v>
      </c>
      <c r="B606" s="64" t="s">
        <v>385</v>
      </c>
      <c r="C606" s="61" t="s">
        <v>386</v>
      </c>
      <c r="D606" s="60">
        <v>21995</v>
      </c>
      <c r="E606" s="74" t="str">
        <f t="shared" si="9"/>
        <v>C</v>
      </c>
      <c r="G606" s="59"/>
    </row>
    <row r="607" spans="1:7" x14ac:dyDescent="0.2">
      <c r="A607" s="70" t="s">
        <v>1203</v>
      </c>
      <c r="B607" s="64" t="s">
        <v>387</v>
      </c>
      <c r="C607" s="61" t="s">
        <v>388</v>
      </c>
      <c r="D607" s="60">
        <v>21995</v>
      </c>
      <c r="E607" s="74" t="str">
        <f t="shared" si="9"/>
        <v>C</v>
      </c>
      <c r="G607" s="59"/>
    </row>
    <row r="608" spans="1:7" x14ac:dyDescent="0.2">
      <c r="A608" s="70" t="s">
        <v>1204</v>
      </c>
      <c r="B608" s="64" t="s">
        <v>389</v>
      </c>
      <c r="C608" s="61" t="s">
        <v>390</v>
      </c>
      <c r="D608" s="60">
        <v>21995</v>
      </c>
      <c r="E608" s="74" t="str">
        <f t="shared" si="9"/>
        <v>C</v>
      </c>
      <c r="G608" s="59"/>
    </row>
    <row r="609" spans="1:7" x14ac:dyDescent="0.2">
      <c r="A609" s="70" t="s">
        <v>1205</v>
      </c>
      <c r="B609" s="64" t="s">
        <v>391</v>
      </c>
      <c r="C609" s="61" t="s">
        <v>392</v>
      </c>
      <c r="D609" s="60">
        <v>21995</v>
      </c>
      <c r="E609" s="74" t="str">
        <f t="shared" si="9"/>
        <v>C</v>
      </c>
      <c r="G609" s="59"/>
    </row>
    <row r="610" spans="1:7" x14ac:dyDescent="0.2">
      <c r="A610" s="70" t="s">
        <v>1206</v>
      </c>
      <c r="B610" s="64" t="s">
        <v>393</v>
      </c>
      <c r="C610" s="61" t="s">
        <v>394</v>
      </c>
      <c r="D610" s="60">
        <v>21995</v>
      </c>
      <c r="E610" s="74" t="str">
        <f t="shared" si="9"/>
        <v>C</v>
      </c>
      <c r="G610" s="59"/>
    </row>
    <row r="611" spans="1:7" x14ac:dyDescent="0.2">
      <c r="A611" s="70" t="s">
        <v>1207</v>
      </c>
      <c r="B611" s="64" t="s">
        <v>395</v>
      </c>
      <c r="C611" s="61" t="s">
        <v>396</v>
      </c>
      <c r="D611" s="60">
        <v>21995</v>
      </c>
      <c r="E611" s="74" t="str">
        <f t="shared" si="9"/>
        <v>C</v>
      </c>
      <c r="G611" s="59"/>
    </row>
    <row r="612" spans="1:7" x14ac:dyDescent="0.2">
      <c r="A612" s="70" t="s">
        <v>1208</v>
      </c>
      <c r="B612" s="64" t="s">
        <v>397</v>
      </c>
      <c r="C612" s="61" t="s">
        <v>398</v>
      </c>
      <c r="D612" s="60">
        <v>21995</v>
      </c>
      <c r="E612" s="74" t="str">
        <f t="shared" si="9"/>
        <v>C</v>
      </c>
      <c r="G612" s="59"/>
    </row>
    <row r="613" spans="1:7" x14ac:dyDescent="0.2">
      <c r="A613" s="70" t="s">
        <v>1209</v>
      </c>
      <c r="B613" s="64" t="s">
        <v>399</v>
      </c>
      <c r="C613" s="61" t="s">
        <v>400</v>
      </c>
      <c r="D613" s="60">
        <v>21995</v>
      </c>
      <c r="E613" s="74" t="str">
        <f t="shared" si="9"/>
        <v>C</v>
      </c>
      <c r="G613" s="59"/>
    </row>
    <row r="614" spans="1:7" x14ac:dyDescent="0.2">
      <c r="A614" s="70" t="s">
        <v>1210</v>
      </c>
      <c r="B614" s="64" t="s">
        <v>401</v>
      </c>
      <c r="C614" s="61" t="s">
        <v>402</v>
      </c>
      <c r="D614" s="60">
        <v>21995</v>
      </c>
      <c r="E614" s="74" t="str">
        <f t="shared" si="9"/>
        <v>C</v>
      </c>
      <c r="G614" s="59"/>
    </row>
    <row r="615" spans="1:7" x14ac:dyDescent="0.2">
      <c r="A615" s="70" t="s">
        <v>1211</v>
      </c>
      <c r="B615" s="64" t="s">
        <v>403</v>
      </c>
      <c r="C615" s="61" t="s">
        <v>404</v>
      </c>
      <c r="D615" s="60">
        <v>21995</v>
      </c>
      <c r="E615" s="74" t="str">
        <f t="shared" si="9"/>
        <v>C</v>
      </c>
      <c r="G615" s="59"/>
    </row>
    <row r="616" spans="1:7" x14ac:dyDescent="0.2">
      <c r="A616" s="70" t="s">
        <v>1212</v>
      </c>
      <c r="B616" s="64" t="s">
        <v>405</v>
      </c>
      <c r="C616" s="61" t="s">
        <v>406</v>
      </c>
      <c r="D616" s="60">
        <v>21995</v>
      </c>
      <c r="E616" s="74" t="str">
        <f t="shared" si="9"/>
        <v>C</v>
      </c>
      <c r="G616" s="59"/>
    </row>
    <row r="617" spans="1:7" x14ac:dyDescent="0.2">
      <c r="A617" s="70" t="s">
        <v>1213</v>
      </c>
      <c r="B617" s="64" t="s">
        <v>407</v>
      </c>
      <c r="C617" s="61" t="s">
        <v>408</v>
      </c>
      <c r="D617" s="60">
        <v>21995</v>
      </c>
      <c r="E617" s="74" t="str">
        <f t="shared" si="9"/>
        <v>C</v>
      </c>
      <c r="G617" s="59"/>
    </row>
    <row r="618" spans="1:7" x14ac:dyDescent="0.2">
      <c r="A618" s="70" t="s">
        <v>1214</v>
      </c>
      <c r="B618" s="64" t="s">
        <v>409</v>
      </c>
      <c r="C618" s="61" t="s">
        <v>410</v>
      </c>
      <c r="D618" s="60">
        <v>21995</v>
      </c>
      <c r="E618" s="74" t="str">
        <f t="shared" si="9"/>
        <v>C</v>
      </c>
      <c r="G618" s="59"/>
    </row>
    <row r="619" spans="1:7" x14ac:dyDescent="0.2">
      <c r="A619" s="70" t="s">
        <v>1215</v>
      </c>
      <c r="B619" s="64" t="s">
        <v>411</v>
      </c>
      <c r="C619" s="61" t="s">
        <v>412</v>
      </c>
      <c r="D619" s="60">
        <v>21995</v>
      </c>
      <c r="E619" s="74" t="str">
        <f t="shared" si="9"/>
        <v>C</v>
      </c>
      <c r="G619" s="59"/>
    </row>
    <row r="620" spans="1:7" x14ac:dyDescent="0.2">
      <c r="A620" s="70" t="s">
        <v>1216</v>
      </c>
      <c r="B620" s="64" t="s">
        <v>413</v>
      </c>
      <c r="C620" s="61" t="s">
        <v>414</v>
      </c>
      <c r="D620" s="60">
        <v>21995</v>
      </c>
      <c r="E620" s="74" t="str">
        <f t="shared" si="9"/>
        <v>C</v>
      </c>
      <c r="G620" s="59"/>
    </row>
    <row r="621" spans="1:7" x14ac:dyDescent="0.2">
      <c r="A621" s="70" t="s">
        <v>1217</v>
      </c>
      <c r="B621" s="64" t="s">
        <v>415</v>
      </c>
      <c r="C621" s="61" t="s">
        <v>416</v>
      </c>
      <c r="D621" s="60">
        <v>21995</v>
      </c>
      <c r="E621" s="74" t="str">
        <f t="shared" si="9"/>
        <v>C</v>
      </c>
      <c r="G621" s="59"/>
    </row>
    <row r="622" spans="1:7" x14ac:dyDescent="0.2">
      <c r="A622" s="70" t="s">
        <v>1218</v>
      </c>
      <c r="B622" s="64" t="s">
        <v>417</v>
      </c>
      <c r="C622" s="61" t="s">
        <v>418</v>
      </c>
      <c r="D622" s="60">
        <v>21995</v>
      </c>
      <c r="E622" s="74" t="str">
        <f t="shared" si="9"/>
        <v>C</v>
      </c>
      <c r="G622" s="59"/>
    </row>
    <row r="623" spans="1:7" x14ac:dyDescent="0.2">
      <c r="A623" s="70" t="s">
        <v>1219</v>
      </c>
      <c r="B623" s="64" t="s">
        <v>419</v>
      </c>
      <c r="C623" s="61" t="s">
        <v>420</v>
      </c>
      <c r="D623" s="60">
        <v>21995</v>
      </c>
      <c r="E623" s="74" t="str">
        <f t="shared" si="9"/>
        <v>C</v>
      </c>
      <c r="G623" s="59"/>
    </row>
    <row r="624" spans="1:7" x14ac:dyDescent="0.2">
      <c r="A624" s="70" t="s">
        <v>1220</v>
      </c>
      <c r="B624" s="64" t="s">
        <v>421</v>
      </c>
      <c r="C624" s="61" t="s">
        <v>422</v>
      </c>
      <c r="D624" s="60">
        <v>21995</v>
      </c>
      <c r="E624" s="74" t="str">
        <f t="shared" si="9"/>
        <v>C</v>
      </c>
      <c r="G624" s="59"/>
    </row>
    <row r="625" spans="1:7" x14ac:dyDescent="0.2">
      <c r="A625" s="70" t="s">
        <v>1221</v>
      </c>
      <c r="B625" s="64" t="s">
        <v>423</v>
      </c>
      <c r="C625" s="61" t="s">
        <v>424</v>
      </c>
      <c r="D625" s="60">
        <v>21995</v>
      </c>
      <c r="E625" s="74" t="str">
        <f t="shared" si="9"/>
        <v>C</v>
      </c>
      <c r="G625" s="59"/>
    </row>
    <row r="626" spans="1:7" x14ac:dyDescent="0.2">
      <c r="A626" s="70" t="s">
        <v>1222</v>
      </c>
      <c r="B626" s="64" t="s">
        <v>425</v>
      </c>
      <c r="C626" s="61" t="s">
        <v>426</v>
      </c>
      <c r="D626" s="60">
        <v>21995</v>
      </c>
      <c r="E626" s="74" t="str">
        <f t="shared" si="9"/>
        <v>C</v>
      </c>
      <c r="G626" s="59"/>
    </row>
    <row r="627" spans="1:7" x14ac:dyDescent="0.2">
      <c r="A627" s="70" t="s">
        <v>1223</v>
      </c>
      <c r="B627" s="64" t="s">
        <v>427</v>
      </c>
      <c r="C627" s="61" t="s">
        <v>428</v>
      </c>
      <c r="D627" s="60">
        <v>21995</v>
      </c>
      <c r="E627" s="74" t="str">
        <f t="shared" si="9"/>
        <v>C</v>
      </c>
      <c r="G627" s="59"/>
    </row>
    <row r="628" spans="1:7" x14ac:dyDescent="0.2">
      <c r="A628" s="70" t="s">
        <v>1224</v>
      </c>
      <c r="B628" s="64" t="s">
        <v>429</v>
      </c>
      <c r="C628" s="61" t="s">
        <v>430</v>
      </c>
      <c r="D628" s="60">
        <v>21995</v>
      </c>
      <c r="E628" s="74" t="str">
        <f t="shared" si="9"/>
        <v>C</v>
      </c>
      <c r="G628" s="59"/>
    </row>
    <row r="629" spans="1:7" x14ac:dyDescent="0.2">
      <c r="A629" s="70" t="s">
        <v>1225</v>
      </c>
      <c r="B629" s="64" t="s">
        <v>431</v>
      </c>
      <c r="C629" s="61" t="s">
        <v>432</v>
      </c>
      <c r="D629" s="60">
        <v>21995</v>
      </c>
      <c r="E629" s="74" t="str">
        <f t="shared" si="9"/>
        <v>C</v>
      </c>
      <c r="G629" s="59"/>
    </row>
    <row r="630" spans="1:7" x14ac:dyDescent="0.2">
      <c r="A630" s="70" t="s">
        <v>1226</v>
      </c>
      <c r="B630" s="64" t="s">
        <v>433</v>
      </c>
      <c r="C630" s="61" t="s">
        <v>434</v>
      </c>
      <c r="D630" s="60">
        <v>21995</v>
      </c>
      <c r="E630" s="74" t="str">
        <f t="shared" si="9"/>
        <v>C</v>
      </c>
      <c r="G630" s="59"/>
    </row>
    <row r="631" spans="1:7" x14ac:dyDescent="0.2">
      <c r="A631" s="70" t="s">
        <v>1227</v>
      </c>
      <c r="B631" s="64" t="s">
        <v>435</v>
      </c>
      <c r="C631" s="61" t="s">
        <v>436</v>
      </c>
      <c r="D631" s="60">
        <v>21995</v>
      </c>
      <c r="E631" s="74" t="str">
        <f t="shared" si="9"/>
        <v>C</v>
      </c>
      <c r="G631" s="59"/>
    </row>
    <row r="632" spans="1:7" x14ac:dyDescent="0.2">
      <c r="A632" s="70" t="s">
        <v>1228</v>
      </c>
      <c r="B632" s="64" t="s">
        <v>437</v>
      </c>
      <c r="C632" s="61" t="s">
        <v>438</v>
      </c>
      <c r="D632" s="60">
        <v>21995</v>
      </c>
      <c r="E632" s="74" t="str">
        <f t="shared" si="9"/>
        <v>C</v>
      </c>
      <c r="G632" s="59"/>
    </row>
    <row r="633" spans="1:7" x14ac:dyDescent="0.2">
      <c r="A633" s="70" t="s">
        <v>1229</v>
      </c>
      <c r="B633" s="64" t="s">
        <v>439</v>
      </c>
      <c r="C633" s="61" t="s">
        <v>440</v>
      </c>
      <c r="D633" s="60">
        <v>21995</v>
      </c>
      <c r="E633" s="74" t="str">
        <f t="shared" si="9"/>
        <v>C</v>
      </c>
      <c r="G633" s="59"/>
    </row>
    <row r="634" spans="1:7" x14ac:dyDescent="0.2">
      <c r="A634" s="70" t="s">
        <v>1230</v>
      </c>
      <c r="B634" s="64" t="s">
        <v>441</v>
      </c>
      <c r="C634" s="61" t="s">
        <v>442</v>
      </c>
      <c r="D634" s="60">
        <v>21995</v>
      </c>
      <c r="E634" s="74" t="str">
        <f t="shared" si="9"/>
        <v>C</v>
      </c>
      <c r="G634" s="59"/>
    </row>
    <row r="635" spans="1:7" x14ac:dyDescent="0.2">
      <c r="A635" s="70" t="s">
        <v>1231</v>
      </c>
      <c r="B635" s="64" t="s">
        <v>443</v>
      </c>
      <c r="C635" s="61" t="s">
        <v>444</v>
      </c>
      <c r="D635" s="60">
        <v>21995</v>
      </c>
      <c r="E635" s="74" t="str">
        <f t="shared" si="9"/>
        <v>C</v>
      </c>
      <c r="G635" s="59"/>
    </row>
    <row r="636" spans="1:7" x14ac:dyDescent="0.2">
      <c r="A636" s="70" t="s">
        <v>1232</v>
      </c>
      <c r="B636" s="64" t="s">
        <v>445</v>
      </c>
      <c r="C636" s="61" t="s">
        <v>446</v>
      </c>
      <c r="D636" s="60">
        <v>21995</v>
      </c>
      <c r="E636" s="74" t="str">
        <f t="shared" si="9"/>
        <v>C</v>
      </c>
      <c r="G636" s="59"/>
    </row>
    <row r="637" spans="1:7" x14ac:dyDescent="0.2">
      <c r="A637" s="70" t="s">
        <v>1233</v>
      </c>
      <c r="B637" s="64" t="s">
        <v>447</v>
      </c>
      <c r="C637" s="61" t="s">
        <v>448</v>
      </c>
      <c r="D637" s="60">
        <v>21995</v>
      </c>
      <c r="E637" s="74" t="str">
        <f t="shared" si="9"/>
        <v>C</v>
      </c>
      <c r="G637" s="59"/>
    </row>
    <row r="638" spans="1:7" x14ac:dyDescent="0.2">
      <c r="A638" s="70" t="s">
        <v>1234</v>
      </c>
      <c r="B638" s="64" t="s">
        <v>449</v>
      </c>
      <c r="C638" s="61" t="s">
        <v>450</v>
      </c>
      <c r="D638" s="60">
        <v>21995</v>
      </c>
      <c r="E638" s="74" t="str">
        <f t="shared" si="9"/>
        <v>C</v>
      </c>
      <c r="G638" s="59"/>
    </row>
    <row r="639" spans="1:7" x14ac:dyDescent="0.2">
      <c r="A639" s="67" t="s">
        <v>1235</v>
      </c>
      <c r="B639" s="49" t="s">
        <v>359</v>
      </c>
      <c r="C639" s="49" t="s">
        <v>360</v>
      </c>
      <c r="D639" s="57">
        <v>325</v>
      </c>
      <c r="E639" s="74" t="str">
        <f t="shared" si="9"/>
        <v>A</v>
      </c>
      <c r="G639" s="59"/>
    </row>
    <row r="640" spans="1:7" x14ac:dyDescent="0.2">
      <c r="A640" s="67" t="s">
        <v>1236</v>
      </c>
      <c r="B640" s="49" t="s">
        <v>590</v>
      </c>
      <c r="C640" s="49" t="s">
        <v>591</v>
      </c>
      <c r="D640" s="57">
        <v>490</v>
      </c>
      <c r="E640" s="74" t="str">
        <f t="shared" si="9"/>
        <v>A</v>
      </c>
      <c r="G640" s="59"/>
    </row>
    <row r="641" spans="1:7" x14ac:dyDescent="0.2">
      <c r="A641" s="67" t="s">
        <v>1237</v>
      </c>
      <c r="B641" s="49" t="s">
        <v>592</v>
      </c>
      <c r="C641" s="49" t="s">
        <v>593</v>
      </c>
      <c r="D641" s="57">
        <v>490</v>
      </c>
      <c r="E641" s="74" t="str">
        <f t="shared" si="9"/>
        <v>A</v>
      </c>
      <c r="G641" s="59"/>
    </row>
    <row r="642" spans="1:7" x14ac:dyDescent="0.2">
      <c r="A642" s="67" t="s">
        <v>1238</v>
      </c>
      <c r="B642" s="49" t="s">
        <v>173</v>
      </c>
      <c r="C642" s="49" t="s">
        <v>595</v>
      </c>
      <c r="D642" s="57">
        <v>1095</v>
      </c>
      <c r="E642" s="74" t="str">
        <f t="shared" si="9"/>
        <v>B</v>
      </c>
      <c r="G642" s="59"/>
    </row>
    <row r="643" spans="1:7" x14ac:dyDescent="0.2">
      <c r="A643" s="67" t="s">
        <v>1239</v>
      </c>
      <c r="B643" s="49" t="s">
        <v>518</v>
      </c>
      <c r="C643" s="49" t="s">
        <v>595</v>
      </c>
      <c r="D643" s="57">
        <v>4395</v>
      </c>
      <c r="E643" s="74" t="str">
        <f t="shared" si="9"/>
        <v>B</v>
      </c>
      <c r="G643" s="59"/>
    </row>
    <row r="644" spans="1:7" x14ac:dyDescent="0.2">
      <c r="A644" s="67" t="s">
        <v>1240</v>
      </c>
      <c r="B644" s="49" t="s">
        <v>588</v>
      </c>
      <c r="C644" s="49" t="s">
        <v>589</v>
      </c>
      <c r="D644" s="57">
        <v>5495</v>
      </c>
      <c r="E644" s="74" t="str">
        <f t="shared" si="9"/>
        <v>B</v>
      </c>
      <c r="G644" s="59"/>
    </row>
    <row r="645" spans="1:7" x14ac:dyDescent="0.2">
      <c r="A645" s="67" t="s">
        <v>1241</v>
      </c>
      <c r="B645" s="49" t="s">
        <v>1851</v>
      </c>
      <c r="C645" s="49" t="s">
        <v>550</v>
      </c>
      <c r="D645" s="57">
        <v>5495</v>
      </c>
      <c r="E645" s="74" t="str">
        <f t="shared" ref="E645:E708" si="10">VLOOKUP(D645,$G$4:$H$7,2)</f>
        <v>B</v>
      </c>
      <c r="G645" s="59"/>
    </row>
    <row r="646" spans="1:7" x14ac:dyDescent="0.2">
      <c r="A646" s="67" t="s">
        <v>1242</v>
      </c>
      <c r="B646" s="49" t="s">
        <v>1852</v>
      </c>
      <c r="C646" s="49" t="s">
        <v>551</v>
      </c>
      <c r="D646" s="57">
        <v>5495</v>
      </c>
      <c r="E646" s="74" t="str">
        <f t="shared" si="10"/>
        <v>B</v>
      </c>
      <c r="G646" s="59"/>
    </row>
    <row r="647" spans="1:7" x14ac:dyDescent="0.2">
      <c r="A647" s="67" t="s">
        <v>1243</v>
      </c>
      <c r="B647" s="49" t="s">
        <v>1853</v>
      </c>
      <c r="C647" s="49" t="s">
        <v>552</v>
      </c>
      <c r="D647" s="57">
        <v>5495</v>
      </c>
      <c r="E647" s="74" t="str">
        <f t="shared" si="10"/>
        <v>B</v>
      </c>
      <c r="G647" s="59"/>
    </row>
    <row r="648" spans="1:7" x14ac:dyDescent="0.2">
      <c r="A648" s="67" t="s">
        <v>1244</v>
      </c>
      <c r="B648" s="49" t="s">
        <v>1854</v>
      </c>
      <c r="C648" s="49" t="s">
        <v>553</v>
      </c>
      <c r="D648" s="57">
        <v>5495</v>
      </c>
      <c r="E648" s="74" t="str">
        <f t="shared" si="10"/>
        <v>B</v>
      </c>
      <c r="G648" s="59"/>
    </row>
    <row r="649" spans="1:7" x14ac:dyDescent="0.2">
      <c r="A649" s="67" t="s">
        <v>1245</v>
      </c>
      <c r="B649" s="49" t="s">
        <v>1855</v>
      </c>
      <c r="C649" s="49" t="s">
        <v>554</v>
      </c>
      <c r="D649" s="57">
        <v>5495</v>
      </c>
      <c r="E649" s="74" t="str">
        <f t="shared" si="10"/>
        <v>B</v>
      </c>
      <c r="G649" s="59"/>
    </row>
    <row r="650" spans="1:7" x14ac:dyDescent="0.2">
      <c r="A650" s="67" t="s">
        <v>1246</v>
      </c>
      <c r="B650" s="49" t="s">
        <v>1856</v>
      </c>
      <c r="C650" s="49" t="s">
        <v>555</v>
      </c>
      <c r="D650" s="57">
        <v>5495</v>
      </c>
      <c r="E650" s="74" t="str">
        <f t="shared" si="10"/>
        <v>B</v>
      </c>
      <c r="G650" s="59"/>
    </row>
    <row r="651" spans="1:7" x14ac:dyDescent="0.2">
      <c r="A651" s="67" t="s">
        <v>1247</v>
      </c>
      <c r="B651" s="49" t="s">
        <v>1857</v>
      </c>
      <c r="C651" s="49" t="s">
        <v>556</v>
      </c>
      <c r="D651" s="57">
        <v>5495</v>
      </c>
      <c r="E651" s="74" t="str">
        <f t="shared" si="10"/>
        <v>B</v>
      </c>
      <c r="G651" s="59"/>
    </row>
    <row r="652" spans="1:7" x14ac:dyDescent="0.2">
      <c r="A652" s="67" t="s">
        <v>1248</v>
      </c>
      <c r="B652" s="49" t="s">
        <v>1858</v>
      </c>
      <c r="C652" s="49" t="s">
        <v>557</v>
      </c>
      <c r="D652" s="57">
        <v>5495</v>
      </c>
      <c r="E652" s="74" t="str">
        <f t="shared" si="10"/>
        <v>B</v>
      </c>
      <c r="G652" s="59"/>
    </row>
    <row r="653" spans="1:7" x14ac:dyDescent="0.2">
      <c r="A653" s="67" t="s">
        <v>1249</v>
      </c>
      <c r="B653" s="49" t="s">
        <v>363</v>
      </c>
      <c r="C653" s="49" t="s">
        <v>364</v>
      </c>
      <c r="D653" s="57">
        <v>1315</v>
      </c>
      <c r="E653" s="74" t="str">
        <f t="shared" si="10"/>
        <v>B</v>
      </c>
      <c r="G653" s="59"/>
    </row>
    <row r="654" spans="1:7" x14ac:dyDescent="0.2">
      <c r="A654" s="67" t="s">
        <v>1250</v>
      </c>
      <c r="B654" s="49" t="s">
        <v>365</v>
      </c>
      <c r="C654" s="49" t="s">
        <v>366</v>
      </c>
      <c r="D654" s="57">
        <v>1315</v>
      </c>
      <c r="E654" s="74" t="str">
        <f t="shared" si="10"/>
        <v>B</v>
      </c>
      <c r="G654" s="59"/>
    </row>
    <row r="655" spans="1:7" x14ac:dyDescent="0.2">
      <c r="A655" s="67" t="s">
        <v>1251</v>
      </c>
      <c r="B655" s="49" t="s">
        <v>361</v>
      </c>
      <c r="C655" s="49" t="s">
        <v>362</v>
      </c>
      <c r="D655" s="57">
        <v>655</v>
      </c>
      <c r="E655" s="74" t="str">
        <f t="shared" si="10"/>
        <v>A</v>
      </c>
      <c r="G655" s="59"/>
    </row>
    <row r="656" spans="1:7" x14ac:dyDescent="0.2">
      <c r="A656" s="67" t="s">
        <v>1252</v>
      </c>
      <c r="B656" s="49" t="s">
        <v>355</v>
      </c>
      <c r="C656" s="49" t="s">
        <v>356</v>
      </c>
      <c r="D656" s="57">
        <v>435</v>
      </c>
      <c r="E656" s="74" t="str">
        <f t="shared" si="10"/>
        <v>A</v>
      </c>
      <c r="G656" s="59"/>
    </row>
    <row r="657" spans="1:7" x14ac:dyDescent="0.2">
      <c r="A657" s="67" t="s">
        <v>1253</v>
      </c>
      <c r="B657" s="49" t="s">
        <v>357</v>
      </c>
      <c r="C657" s="49" t="s">
        <v>358</v>
      </c>
      <c r="D657" s="57">
        <v>435</v>
      </c>
      <c r="E657" s="74" t="str">
        <f t="shared" si="10"/>
        <v>A</v>
      </c>
      <c r="G657" s="59"/>
    </row>
    <row r="658" spans="1:7" x14ac:dyDescent="0.2">
      <c r="A658" s="67" t="s">
        <v>1254</v>
      </c>
      <c r="B658" s="49" t="s">
        <v>351</v>
      </c>
      <c r="C658" s="49" t="s">
        <v>352</v>
      </c>
      <c r="D658" s="57">
        <v>185</v>
      </c>
      <c r="E658" s="74" t="str">
        <f t="shared" si="10"/>
        <v>A</v>
      </c>
      <c r="G658" s="59"/>
    </row>
    <row r="659" spans="1:7" x14ac:dyDescent="0.2">
      <c r="A659" s="67" t="s">
        <v>1255</v>
      </c>
      <c r="B659" s="49" t="s">
        <v>2036</v>
      </c>
      <c r="C659" s="49" t="s">
        <v>2036</v>
      </c>
      <c r="D659" s="57">
        <v>10445</v>
      </c>
      <c r="E659" s="74" t="str">
        <f t="shared" si="10"/>
        <v>C</v>
      </c>
      <c r="G659" s="59"/>
    </row>
    <row r="660" spans="1:7" x14ac:dyDescent="0.2">
      <c r="A660" s="67" t="s">
        <v>1256</v>
      </c>
      <c r="B660" s="49" t="s">
        <v>2037</v>
      </c>
      <c r="C660" s="49" t="s">
        <v>2037</v>
      </c>
      <c r="D660" s="57">
        <v>7145</v>
      </c>
      <c r="E660" s="74" t="str">
        <f t="shared" si="10"/>
        <v>B</v>
      </c>
      <c r="G660" s="59"/>
    </row>
    <row r="661" spans="1:7" x14ac:dyDescent="0.2">
      <c r="A661" s="67" t="s">
        <v>1257</v>
      </c>
      <c r="B661" s="49" t="s">
        <v>2038</v>
      </c>
      <c r="C661" s="49" t="s">
        <v>2038</v>
      </c>
      <c r="D661" s="57">
        <v>5495</v>
      </c>
      <c r="E661" s="74" t="str">
        <f t="shared" si="10"/>
        <v>B</v>
      </c>
      <c r="G661" s="59"/>
    </row>
    <row r="662" spans="1:7" x14ac:dyDescent="0.2">
      <c r="A662" s="67" t="s">
        <v>1258</v>
      </c>
      <c r="B662" s="49" t="s">
        <v>2039</v>
      </c>
      <c r="C662" s="49" t="s">
        <v>313</v>
      </c>
      <c r="D662" s="57">
        <v>1095</v>
      </c>
      <c r="E662" s="74" t="str">
        <f t="shared" si="10"/>
        <v>B</v>
      </c>
      <c r="G662" s="59"/>
    </row>
    <row r="663" spans="1:7" x14ac:dyDescent="0.2">
      <c r="A663" s="67" t="s">
        <v>1259</v>
      </c>
      <c r="B663" s="49" t="s">
        <v>2040</v>
      </c>
      <c r="C663" s="49" t="s">
        <v>314</v>
      </c>
      <c r="D663" s="57">
        <v>1095</v>
      </c>
      <c r="E663" s="74" t="str">
        <f t="shared" si="10"/>
        <v>B</v>
      </c>
      <c r="G663" s="59"/>
    </row>
    <row r="664" spans="1:7" x14ac:dyDescent="0.2">
      <c r="A664" s="67" t="s">
        <v>1260</v>
      </c>
      <c r="B664" s="49" t="s">
        <v>2041</v>
      </c>
      <c r="C664" s="49" t="s">
        <v>315</v>
      </c>
      <c r="D664" s="57">
        <v>825</v>
      </c>
      <c r="E664" s="74" t="str">
        <f t="shared" si="10"/>
        <v>A</v>
      </c>
      <c r="G664" s="59"/>
    </row>
    <row r="665" spans="1:7" x14ac:dyDescent="0.2">
      <c r="A665" s="67" t="s">
        <v>1261</v>
      </c>
      <c r="B665" s="49" t="s">
        <v>2042</v>
      </c>
      <c r="C665" s="49" t="s">
        <v>316</v>
      </c>
      <c r="D665" s="57">
        <v>545</v>
      </c>
      <c r="E665" s="74" t="str">
        <f t="shared" si="10"/>
        <v>A</v>
      </c>
      <c r="G665" s="59"/>
    </row>
    <row r="666" spans="1:7" x14ac:dyDescent="0.2">
      <c r="A666" s="67" t="s">
        <v>1262</v>
      </c>
      <c r="B666" s="49" t="s">
        <v>2043</v>
      </c>
      <c r="C666" s="49" t="s">
        <v>2043</v>
      </c>
      <c r="D666" s="57">
        <v>198</v>
      </c>
      <c r="E666" s="74" t="str">
        <f t="shared" si="10"/>
        <v>A</v>
      </c>
      <c r="G666" s="59"/>
    </row>
    <row r="667" spans="1:7" x14ac:dyDescent="0.2">
      <c r="A667" s="67" t="s">
        <v>1263</v>
      </c>
      <c r="B667" s="49" t="s">
        <v>2044</v>
      </c>
      <c r="C667" s="49" t="s">
        <v>2044</v>
      </c>
      <c r="D667" s="57">
        <v>198</v>
      </c>
      <c r="E667" s="74" t="str">
        <f t="shared" si="10"/>
        <v>A</v>
      </c>
      <c r="G667" s="59"/>
    </row>
    <row r="668" spans="1:7" x14ac:dyDescent="0.2">
      <c r="A668" s="67" t="s">
        <v>1264</v>
      </c>
      <c r="B668" s="49" t="s">
        <v>2045</v>
      </c>
      <c r="C668" s="49" t="s">
        <v>2045</v>
      </c>
      <c r="D668" s="57">
        <v>198</v>
      </c>
      <c r="E668" s="74" t="str">
        <f t="shared" si="10"/>
        <v>A</v>
      </c>
      <c r="G668" s="59"/>
    </row>
    <row r="669" spans="1:7" x14ac:dyDescent="0.2">
      <c r="A669" s="67" t="s">
        <v>1265</v>
      </c>
      <c r="B669" s="49" t="s">
        <v>2046</v>
      </c>
      <c r="C669" s="49" t="s">
        <v>2046</v>
      </c>
      <c r="D669" s="57">
        <v>198</v>
      </c>
      <c r="E669" s="74" t="str">
        <f t="shared" si="10"/>
        <v>A</v>
      </c>
      <c r="G669" s="59"/>
    </row>
    <row r="670" spans="1:7" x14ac:dyDescent="0.2">
      <c r="A670" s="67" t="s">
        <v>1266</v>
      </c>
      <c r="B670" s="49" t="s">
        <v>2047</v>
      </c>
      <c r="C670" s="49" t="s">
        <v>2047</v>
      </c>
      <c r="D670" s="57">
        <v>198</v>
      </c>
      <c r="E670" s="74" t="str">
        <f t="shared" si="10"/>
        <v>A</v>
      </c>
      <c r="G670" s="59"/>
    </row>
    <row r="671" spans="1:7" x14ac:dyDescent="0.2">
      <c r="A671" s="67" t="s">
        <v>1267</v>
      </c>
      <c r="B671" s="49" t="s">
        <v>2048</v>
      </c>
      <c r="C671" s="49" t="s">
        <v>2048</v>
      </c>
      <c r="D671" s="57">
        <v>198</v>
      </c>
      <c r="E671" s="74" t="str">
        <f t="shared" si="10"/>
        <v>A</v>
      </c>
      <c r="G671" s="59"/>
    </row>
    <row r="672" spans="1:7" x14ac:dyDescent="0.2">
      <c r="A672" s="67" t="s">
        <v>1268</v>
      </c>
      <c r="B672" s="49" t="s">
        <v>317</v>
      </c>
      <c r="C672" s="49" t="s">
        <v>317</v>
      </c>
      <c r="D672" s="57">
        <v>765</v>
      </c>
      <c r="E672" s="74" t="str">
        <f t="shared" si="10"/>
        <v>A</v>
      </c>
      <c r="G672" s="59"/>
    </row>
    <row r="673" spans="1:7" x14ac:dyDescent="0.2">
      <c r="A673" s="67" t="s">
        <v>1269</v>
      </c>
      <c r="B673" s="49" t="s">
        <v>2049</v>
      </c>
      <c r="C673" s="49" t="s">
        <v>319</v>
      </c>
      <c r="D673" s="57">
        <v>4395</v>
      </c>
      <c r="E673" s="74" t="str">
        <f t="shared" si="10"/>
        <v>B</v>
      </c>
      <c r="G673" s="59"/>
    </row>
    <row r="674" spans="1:7" x14ac:dyDescent="0.2">
      <c r="A674" s="67" t="s">
        <v>1270</v>
      </c>
      <c r="B674" s="49" t="s">
        <v>2050</v>
      </c>
      <c r="C674" s="49" t="s">
        <v>320</v>
      </c>
      <c r="D674" s="57">
        <v>7195</v>
      </c>
      <c r="E674" s="74" t="str">
        <f t="shared" si="10"/>
        <v>B</v>
      </c>
      <c r="G674" s="59"/>
    </row>
    <row r="675" spans="1:7" x14ac:dyDescent="0.2">
      <c r="A675" s="67" t="s">
        <v>1271</v>
      </c>
      <c r="B675" s="49" t="s">
        <v>2051</v>
      </c>
      <c r="C675" s="49" t="s">
        <v>321</v>
      </c>
      <c r="D675" s="57">
        <v>2745</v>
      </c>
      <c r="E675" s="74" t="str">
        <f t="shared" si="10"/>
        <v>B</v>
      </c>
      <c r="G675" s="59"/>
    </row>
    <row r="676" spans="1:7" x14ac:dyDescent="0.2">
      <c r="A676" s="67" t="s">
        <v>1272</v>
      </c>
      <c r="B676" s="49" t="s">
        <v>2052</v>
      </c>
      <c r="C676" s="49" t="s">
        <v>322</v>
      </c>
      <c r="D676" s="57">
        <v>8795</v>
      </c>
      <c r="E676" s="74" t="str">
        <f t="shared" si="10"/>
        <v>B</v>
      </c>
      <c r="G676" s="59"/>
    </row>
    <row r="677" spans="1:7" x14ac:dyDescent="0.2">
      <c r="A677" s="67" t="s">
        <v>1273</v>
      </c>
      <c r="B677" s="49" t="s">
        <v>2053</v>
      </c>
      <c r="C677" s="49" t="s">
        <v>323</v>
      </c>
      <c r="D677" s="57">
        <v>11495</v>
      </c>
      <c r="E677" s="74" t="str">
        <f t="shared" si="10"/>
        <v>C</v>
      </c>
      <c r="G677" s="59"/>
    </row>
    <row r="678" spans="1:7" x14ac:dyDescent="0.2">
      <c r="A678" s="67" t="s">
        <v>1274</v>
      </c>
      <c r="B678" s="49" t="s">
        <v>2054</v>
      </c>
      <c r="C678" s="49" t="s">
        <v>324</v>
      </c>
      <c r="D678" s="57">
        <v>7195</v>
      </c>
      <c r="E678" s="74" t="str">
        <f t="shared" si="10"/>
        <v>B</v>
      </c>
      <c r="G678" s="59"/>
    </row>
    <row r="679" spans="1:7" x14ac:dyDescent="0.2">
      <c r="A679" s="67" t="s">
        <v>1275</v>
      </c>
      <c r="B679" s="49" t="s">
        <v>2055</v>
      </c>
      <c r="C679" s="49" t="s">
        <v>325</v>
      </c>
      <c r="D679" s="57">
        <v>13195</v>
      </c>
      <c r="E679" s="74" t="str">
        <f t="shared" si="10"/>
        <v>C</v>
      </c>
      <c r="G679" s="59"/>
    </row>
    <row r="680" spans="1:7" x14ac:dyDescent="0.2">
      <c r="A680" s="67" t="s">
        <v>1276</v>
      </c>
      <c r="B680" s="49" t="s">
        <v>2056</v>
      </c>
      <c r="C680" s="49" t="s">
        <v>326</v>
      </c>
      <c r="D680" s="57">
        <v>15395</v>
      </c>
      <c r="E680" s="74" t="str">
        <f t="shared" si="10"/>
        <v>C</v>
      </c>
      <c r="G680" s="59"/>
    </row>
    <row r="681" spans="1:7" x14ac:dyDescent="0.2">
      <c r="A681" s="67" t="s">
        <v>1277</v>
      </c>
      <c r="B681" s="49" t="s">
        <v>2057</v>
      </c>
      <c r="C681" s="49" t="s">
        <v>326</v>
      </c>
      <c r="D681" s="57">
        <v>10495</v>
      </c>
      <c r="E681" s="74" t="str">
        <f t="shared" si="10"/>
        <v>C</v>
      </c>
      <c r="G681" s="59"/>
    </row>
    <row r="682" spans="1:7" x14ac:dyDescent="0.2">
      <c r="A682" s="67" t="s">
        <v>1278</v>
      </c>
      <c r="B682" s="49" t="s">
        <v>205</v>
      </c>
      <c r="C682" s="49" t="s">
        <v>206</v>
      </c>
      <c r="D682" s="57">
        <v>2745</v>
      </c>
      <c r="E682" s="74" t="str">
        <f t="shared" si="10"/>
        <v>B</v>
      </c>
      <c r="G682" s="59"/>
    </row>
    <row r="683" spans="1:7" x14ac:dyDescent="0.2">
      <c r="A683" s="67" t="s">
        <v>1279</v>
      </c>
      <c r="B683" s="49" t="s">
        <v>207</v>
      </c>
      <c r="C683" s="49" t="s">
        <v>208</v>
      </c>
      <c r="D683" s="57">
        <v>5495</v>
      </c>
      <c r="E683" s="74" t="str">
        <f t="shared" si="10"/>
        <v>B</v>
      </c>
      <c r="G683" s="59"/>
    </row>
    <row r="684" spans="1:7" x14ac:dyDescent="0.2">
      <c r="A684" s="67" t="s">
        <v>1280</v>
      </c>
      <c r="B684" s="49" t="s">
        <v>211</v>
      </c>
      <c r="C684" s="49" t="s">
        <v>327</v>
      </c>
      <c r="D684" s="57">
        <v>5495</v>
      </c>
      <c r="E684" s="74" t="str">
        <f t="shared" si="10"/>
        <v>B</v>
      </c>
      <c r="G684" s="59"/>
    </row>
    <row r="685" spans="1:7" x14ac:dyDescent="0.2">
      <c r="A685" s="67" t="s">
        <v>1281</v>
      </c>
      <c r="B685" s="49" t="s">
        <v>212</v>
      </c>
      <c r="C685" s="49" t="s">
        <v>328</v>
      </c>
      <c r="D685" s="57">
        <v>6595</v>
      </c>
      <c r="E685" s="74" t="str">
        <f t="shared" si="10"/>
        <v>B</v>
      </c>
      <c r="G685" s="59"/>
    </row>
    <row r="686" spans="1:7" x14ac:dyDescent="0.2">
      <c r="A686" s="67" t="s">
        <v>1282</v>
      </c>
      <c r="B686" s="49" t="s">
        <v>209</v>
      </c>
      <c r="C686" s="49" t="s">
        <v>209</v>
      </c>
      <c r="D686" s="57">
        <v>1595</v>
      </c>
      <c r="E686" s="74" t="str">
        <f t="shared" si="10"/>
        <v>B</v>
      </c>
      <c r="G686" s="59"/>
    </row>
    <row r="687" spans="1:7" x14ac:dyDescent="0.2">
      <c r="A687" s="67" t="s">
        <v>1283</v>
      </c>
      <c r="B687" s="49" t="s">
        <v>2303</v>
      </c>
      <c r="C687" s="49" t="s">
        <v>210</v>
      </c>
      <c r="D687" s="57">
        <v>2395</v>
      </c>
      <c r="E687" s="74" t="str">
        <f t="shared" si="10"/>
        <v>B</v>
      </c>
      <c r="G687" s="59"/>
    </row>
    <row r="688" spans="1:7" x14ac:dyDescent="0.2">
      <c r="A688" s="67" t="s">
        <v>1284</v>
      </c>
      <c r="B688" s="49" t="s">
        <v>2310</v>
      </c>
      <c r="C688" s="49" t="s">
        <v>329</v>
      </c>
      <c r="D688" s="57">
        <v>14295</v>
      </c>
      <c r="E688" s="74" t="str">
        <f t="shared" si="10"/>
        <v>C</v>
      </c>
      <c r="G688" s="59"/>
    </row>
    <row r="689" spans="1:7" x14ac:dyDescent="0.2">
      <c r="A689" s="67" t="s">
        <v>1285</v>
      </c>
      <c r="B689" s="49" t="s">
        <v>2311</v>
      </c>
      <c r="C689" s="49" t="s">
        <v>330</v>
      </c>
      <c r="D689" s="57">
        <v>21995</v>
      </c>
      <c r="E689" s="74" t="str">
        <f t="shared" si="10"/>
        <v>C</v>
      </c>
      <c r="G689" s="59"/>
    </row>
    <row r="690" spans="1:7" x14ac:dyDescent="0.2">
      <c r="A690" s="67" t="s">
        <v>1286</v>
      </c>
      <c r="B690" s="49" t="s">
        <v>2312</v>
      </c>
      <c r="C690" s="49" t="s">
        <v>2312</v>
      </c>
      <c r="D690" s="57">
        <v>6595</v>
      </c>
      <c r="E690" s="74" t="str">
        <f t="shared" si="10"/>
        <v>B</v>
      </c>
      <c r="G690" s="59"/>
    </row>
    <row r="691" spans="1:7" x14ac:dyDescent="0.2">
      <c r="A691" s="67" t="s">
        <v>1287</v>
      </c>
      <c r="B691" s="49" t="s">
        <v>2313</v>
      </c>
      <c r="C691" s="49" t="s">
        <v>2314</v>
      </c>
      <c r="D691" s="57">
        <v>7695</v>
      </c>
      <c r="E691" s="74" t="str">
        <f t="shared" si="10"/>
        <v>B</v>
      </c>
      <c r="G691" s="59"/>
    </row>
    <row r="692" spans="1:7" x14ac:dyDescent="0.2">
      <c r="A692" s="67" t="s">
        <v>1288</v>
      </c>
      <c r="B692" s="49" t="s">
        <v>2315</v>
      </c>
      <c r="C692" s="49" t="s">
        <v>2316</v>
      </c>
      <c r="D692" s="57">
        <v>5495</v>
      </c>
      <c r="E692" s="74" t="str">
        <f t="shared" si="10"/>
        <v>B</v>
      </c>
      <c r="G692" s="59"/>
    </row>
    <row r="693" spans="1:7" x14ac:dyDescent="0.2">
      <c r="A693" s="67" t="s">
        <v>1289</v>
      </c>
      <c r="B693" s="49" t="s">
        <v>2317</v>
      </c>
      <c r="C693" s="49" t="s">
        <v>331</v>
      </c>
      <c r="D693" s="57">
        <v>6045</v>
      </c>
      <c r="E693" s="74" t="str">
        <f t="shared" si="10"/>
        <v>B</v>
      </c>
      <c r="G693" s="59"/>
    </row>
    <row r="694" spans="1:7" x14ac:dyDescent="0.2">
      <c r="A694" s="67" t="s">
        <v>1290</v>
      </c>
      <c r="B694" s="49" t="s">
        <v>2318</v>
      </c>
      <c r="C694" s="49" t="s">
        <v>332</v>
      </c>
      <c r="D694" s="57">
        <v>8795</v>
      </c>
      <c r="E694" s="74" t="str">
        <f t="shared" si="10"/>
        <v>B</v>
      </c>
      <c r="G694" s="59"/>
    </row>
    <row r="695" spans="1:7" x14ac:dyDescent="0.2">
      <c r="A695" s="67" t="s">
        <v>1291</v>
      </c>
      <c r="B695" s="49" t="s">
        <v>2319</v>
      </c>
      <c r="C695" s="49" t="s">
        <v>333</v>
      </c>
      <c r="D695" s="57">
        <v>10995</v>
      </c>
      <c r="E695" s="74" t="str">
        <f t="shared" si="10"/>
        <v>C</v>
      </c>
      <c r="G695" s="59"/>
    </row>
    <row r="696" spans="1:7" x14ac:dyDescent="0.2">
      <c r="A696" s="67" t="s">
        <v>1292</v>
      </c>
      <c r="B696" s="49" t="s">
        <v>359</v>
      </c>
      <c r="C696" s="49" t="s">
        <v>360</v>
      </c>
      <c r="D696" s="57">
        <v>325</v>
      </c>
      <c r="E696" s="74" t="str">
        <f t="shared" si="10"/>
        <v>A</v>
      </c>
      <c r="G696" s="59"/>
    </row>
    <row r="697" spans="1:7" x14ac:dyDescent="0.2">
      <c r="A697" s="67" t="s">
        <v>1293</v>
      </c>
      <c r="B697" s="49" t="s">
        <v>590</v>
      </c>
      <c r="C697" s="49" t="s">
        <v>591</v>
      </c>
      <c r="D697" s="57">
        <v>490</v>
      </c>
      <c r="E697" s="74" t="str">
        <f t="shared" si="10"/>
        <v>A</v>
      </c>
      <c r="G697" s="59"/>
    </row>
    <row r="698" spans="1:7" x14ac:dyDescent="0.2">
      <c r="A698" s="67" t="s">
        <v>1294</v>
      </c>
      <c r="B698" s="49" t="s">
        <v>592</v>
      </c>
      <c r="C698" s="49" t="s">
        <v>593</v>
      </c>
      <c r="D698" s="57">
        <v>490</v>
      </c>
      <c r="E698" s="74" t="str">
        <f t="shared" si="10"/>
        <v>A</v>
      </c>
      <c r="G698" s="59"/>
    </row>
    <row r="699" spans="1:7" x14ac:dyDescent="0.2">
      <c r="A699" s="67" t="s">
        <v>1295</v>
      </c>
      <c r="B699" s="49" t="s">
        <v>173</v>
      </c>
      <c r="C699" s="49" t="s">
        <v>595</v>
      </c>
      <c r="D699" s="57">
        <v>1095</v>
      </c>
      <c r="E699" s="74" t="str">
        <f t="shared" si="10"/>
        <v>B</v>
      </c>
      <c r="G699" s="59"/>
    </row>
    <row r="700" spans="1:7" x14ac:dyDescent="0.2">
      <c r="A700" s="67" t="s">
        <v>1296</v>
      </c>
      <c r="B700" s="49" t="s">
        <v>518</v>
      </c>
      <c r="C700" s="49" t="s">
        <v>595</v>
      </c>
      <c r="D700" s="57">
        <v>4395</v>
      </c>
      <c r="E700" s="74" t="str">
        <f t="shared" si="10"/>
        <v>B</v>
      </c>
      <c r="G700" s="59"/>
    </row>
    <row r="701" spans="1:7" x14ac:dyDescent="0.2">
      <c r="A701" s="67" t="s">
        <v>1297</v>
      </c>
      <c r="B701" s="49" t="s">
        <v>588</v>
      </c>
      <c r="C701" s="49" t="s">
        <v>589</v>
      </c>
      <c r="D701" s="57">
        <v>5495</v>
      </c>
      <c r="E701" s="74" t="str">
        <f t="shared" si="10"/>
        <v>B</v>
      </c>
      <c r="G701" s="59"/>
    </row>
    <row r="702" spans="1:7" x14ac:dyDescent="0.2">
      <c r="A702" s="67" t="s">
        <v>1298</v>
      </c>
      <c r="B702" s="49" t="s">
        <v>1851</v>
      </c>
      <c r="C702" s="49" t="s">
        <v>550</v>
      </c>
      <c r="D702" s="57">
        <v>5495</v>
      </c>
      <c r="E702" s="74" t="str">
        <f t="shared" si="10"/>
        <v>B</v>
      </c>
      <c r="G702" s="59"/>
    </row>
    <row r="703" spans="1:7" x14ac:dyDescent="0.2">
      <c r="A703" s="67" t="s">
        <v>1299</v>
      </c>
      <c r="B703" s="49" t="s">
        <v>1852</v>
      </c>
      <c r="C703" s="49" t="s">
        <v>551</v>
      </c>
      <c r="D703" s="57">
        <v>5495</v>
      </c>
      <c r="E703" s="74" t="str">
        <f t="shared" si="10"/>
        <v>B</v>
      </c>
      <c r="G703" s="59"/>
    </row>
    <row r="704" spans="1:7" x14ac:dyDescent="0.2">
      <c r="A704" s="67" t="s">
        <v>1300</v>
      </c>
      <c r="B704" s="49" t="s">
        <v>1853</v>
      </c>
      <c r="C704" s="49" t="s">
        <v>552</v>
      </c>
      <c r="D704" s="57">
        <v>5495</v>
      </c>
      <c r="E704" s="74" t="str">
        <f t="shared" si="10"/>
        <v>B</v>
      </c>
      <c r="G704" s="59"/>
    </row>
    <row r="705" spans="1:7" x14ac:dyDescent="0.2">
      <c r="A705" s="67" t="s">
        <v>1301</v>
      </c>
      <c r="B705" s="49" t="s">
        <v>1854</v>
      </c>
      <c r="C705" s="49" t="s">
        <v>553</v>
      </c>
      <c r="D705" s="57">
        <v>5495</v>
      </c>
      <c r="E705" s="74" t="str">
        <f t="shared" si="10"/>
        <v>B</v>
      </c>
      <c r="G705" s="59"/>
    </row>
    <row r="706" spans="1:7" x14ac:dyDescent="0.2">
      <c r="A706" s="67" t="s">
        <v>1302</v>
      </c>
      <c r="B706" s="49" t="s">
        <v>1855</v>
      </c>
      <c r="C706" s="49" t="s">
        <v>554</v>
      </c>
      <c r="D706" s="57">
        <v>5495</v>
      </c>
      <c r="E706" s="74" t="str">
        <f t="shared" si="10"/>
        <v>B</v>
      </c>
      <c r="G706" s="59"/>
    </row>
    <row r="707" spans="1:7" x14ac:dyDescent="0.2">
      <c r="A707" s="67" t="s">
        <v>1303</v>
      </c>
      <c r="B707" s="49" t="s">
        <v>1856</v>
      </c>
      <c r="C707" s="49" t="s">
        <v>555</v>
      </c>
      <c r="D707" s="57">
        <v>5495</v>
      </c>
      <c r="E707" s="74" t="str">
        <f t="shared" si="10"/>
        <v>B</v>
      </c>
      <c r="G707" s="59"/>
    </row>
    <row r="708" spans="1:7" x14ac:dyDescent="0.2">
      <c r="A708" s="67" t="s">
        <v>1304</v>
      </c>
      <c r="B708" s="49" t="s">
        <v>1857</v>
      </c>
      <c r="C708" s="49" t="s">
        <v>556</v>
      </c>
      <c r="D708" s="57">
        <v>5495</v>
      </c>
      <c r="E708" s="74" t="str">
        <f t="shared" si="10"/>
        <v>B</v>
      </c>
      <c r="G708" s="59"/>
    </row>
    <row r="709" spans="1:7" x14ac:dyDescent="0.2">
      <c r="A709" s="67" t="s">
        <v>1305</v>
      </c>
      <c r="B709" s="49" t="s">
        <v>1858</v>
      </c>
      <c r="C709" s="49" t="s">
        <v>557</v>
      </c>
      <c r="D709" s="57">
        <v>5495</v>
      </c>
      <c r="E709" s="74" t="str">
        <f t="shared" ref="E709:E772" si="11">VLOOKUP(D709,$G$4:$H$7,2)</f>
        <v>B</v>
      </c>
      <c r="G709" s="59"/>
    </row>
    <row r="710" spans="1:7" x14ac:dyDescent="0.2">
      <c r="A710" s="67" t="s">
        <v>1306</v>
      </c>
      <c r="B710" s="49" t="s">
        <v>334</v>
      </c>
      <c r="C710" s="49" t="s">
        <v>335</v>
      </c>
      <c r="D710" s="57">
        <v>7695</v>
      </c>
      <c r="E710" s="74" t="str">
        <f t="shared" si="11"/>
        <v>B</v>
      </c>
      <c r="G710" s="59"/>
    </row>
    <row r="711" spans="1:7" x14ac:dyDescent="0.2">
      <c r="A711" s="67" t="s">
        <v>1307</v>
      </c>
      <c r="B711" s="49" t="s">
        <v>336</v>
      </c>
      <c r="C711" s="49" t="s">
        <v>337</v>
      </c>
      <c r="D711" s="57">
        <v>10995</v>
      </c>
      <c r="E711" s="74" t="str">
        <f t="shared" si="11"/>
        <v>C</v>
      </c>
      <c r="G711" s="59"/>
    </row>
    <row r="712" spans="1:7" x14ac:dyDescent="0.2">
      <c r="A712" s="67" t="s">
        <v>1308</v>
      </c>
      <c r="B712" s="49" t="s">
        <v>536</v>
      </c>
      <c r="C712" s="49" t="s">
        <v>318</v>
      </c>
      <c r="D712" s="57">
        <v>2745</v>
      </c>
      <c r="E712" s="74" t="str">
        <f t="shared" si="11"/>
        <v>B</v>
      </c>
      <c r="G712" s="59"/>
    </row>
    <row r="713" spans="1:7" x14ac:dyDescent="0.2">
      <c r="A713" s="67" t="s">
        <v>1309</v>
      </c>
      <c r="B713" s="49" t="s">
        <v>538</v>
      </c>
      <c r="C713" s="49" t="s">
        <v>539</v>
      </c>
      <c r="D713" s="57">
        <v>3845</v>
      </c>
      <c r="E713" s="74" t="str">
        <f t="shared" si="11"/>
        <v>B</v>
      </c>
      <c r="G713" s="59"/>
    </row>
    <row r="714" spans="1:7" x14ac:dyDescent="0.2">
      <c r="A714" s="67" t="s">
        <v>1310</v>
      </c>
      <c r="B714" s="49" t="s">
        <v>542</v>
      </c>
      <c r="C714" s="49" t="s">
        <v>543</v>
      </c>
      <c r="D714" s="57">
        <v>10995</v>
      </c>
      <c r="E714" s="74" t="str">
        <f t="shared" si="11"/>
        <v>C</v>
      </c>
      <c r="G714" s="59"/>
    </row>
    <row r="715" spans="1:7" x14ac:dyDescent="0.2">
      <c r="A715" s="67" t="s">
        <v>1311</v>
      </c>
      <c r="B715" s="49" t="s">
        <v>519</v>
      </c>
      <c r="C715" s="49" t="s">
        <v>520</v>
      </c>
      <c r="D715" s="57">
        <v>14295</v>
      </c>
      <c r="E715" s="74" t="str">
        <f t="shared" si="11"/>
        <v>C</v>
      </c>
      <c r="G715" s="59"/>
    </row>
    <row r="716" spans="1:7" x14ac:dyDescent="0.2">
      <c r="A716" s="67" t="s">
        <v>1312</v>
      </c>
      <c r="B716" s="49" t="s">
        <v>540</v>
      </c>
      <c r="C716" s="49" t="s">
        <v>541</v>
      </c>
      <c r="D716" s="57">
        <v>5495</v>
      </c>
      <c r="E716" s="74" t="str">
        <f t="shared" si="11"/>
        <v>B</v>
      </c>
      <c r="G716" s="59"/>
    </row>
    <row r="717" spans="1:7" x14ac:dyDescent="0.2">
      <c r="A717" s="67" t="s">
        <v>1313</v>
      </c>
      <c r="B717" s="49" t="s">
        <v>535</v>
      </c>
      <c r="C717" s="49" t="s">
        <v>535</v>
      </c>
      <c r="D717" s="57">
        <v>1095</v>
      </c>
      <c r="E717" s="74" t="str">
        <f t="shared" si="11"/>
        <v>B</v>
      </c>
      <c r="G717" s="59"/>
    </row>
    <row r="718" spans="1:7" x14ac:dyDescent="0.2">
      <c r="A718" s="68" t="s">
        <v>1314</v>
      </c>
      <c r="B718" s="39" t="s">
        <v>521</v>
      </c>
      <c r="C718" s="39" t="s">
        <v>215</v>
      </c>
      <c r="D718" s="38">
        <v>32995</v>
      </c>
      <c r="E718" s="74" t="str">
        <f t="shared" si="11"/>
        <v>D</v>
      </c>
      <c r="G718" s="59"/>
    </row>
    <row r="719" spans="1:7" x14ac:dyDescent="0.2">
      <c r="A719" s="68" t="s">
        <v>1315</v>
      </c>
      <c r="B719" s="39" t="s">
        <v>216</v>
      </c>
      <c r="C719" s="39" t="s">
        <v>217</v>
      </c>
      <c r="D719" s="38">
        <v>32995</v>
      </c>
      <c r="E719" s="74" t="str">
        <f t="shared" si="11"/>
        <v>D</v>
      </c>
      <c r="G719" s="59"/>
    </row>
    <row r="720" spans="1:7" x14ac:dyDescent="0.2">
      <c r="A720" s="68" t="s">
        <v>1316</v>
      </c>
      <c r="B720" s="39" t="s">
        <v>218</v>
      </c>
      <c r="C720" s="39" t="s">
        <v>219</v>
      </c>
      <c r="D720" s="38">
        <v>32995</v>
      </c>
      <c r="E720" s="74" t="str">
        <f t="shared" si="11"/>
        <v>D</v>
      </c>
      <c r="G720" s="59"/>
    </row>
    <row r="721" spans="1:7" x14ac:dyDescent="0.2">
      <c r="A721" s="68" t="s">
        <v>1317</v>
      </c>
      <c r="B721" s="39" t="s">
        <v>220</v>
      </c>
      <c r="C721" s="39" t="s">
        <v>221</v>
      </c>
      <c r="D721" s="38">
        <v>32995</v>
      </c>
      <c r="E721" s="74" t="str">
        <f t="shared" si="11"/>
        <v>D</v>
      </c>
      <c r="G721" s="59"/>
    </row>
    <row r="722" spans="1:7" x14ac:dyDescent="0.2">
      <c r="A722" s="68" t="s">
        <v>1318</v>
      </c>
      <c r="B722" s="39" t="s">
        <v>222</v>
      </c>
      <c r="C722" s="39" t="s">
        <v>223</v>
      </c>
      <c r="D722" s="38">
        <v>32995</v>
      </c>
      <c r="E722" s="74" t="str">
        <f t="shared" si="11"/>
        <v>D</v>
      </c>
      <c r="G722" s="59"/>
    </row>
    <row r="723" spans="1:7" x14ac:dyDescent="0.2">
      <c r="A723" s="68" t="s">
        <v>1319</v>
      </c>
      <c r="B723" s="39" t="s">
        <v>224</v>
      </c>
      <c r="C723" s="39" t="s">
        <v>225</v>
      </c>
      <c r="D723" s="38">
        <v>32995</v>
      </c>
      <c r="E723" s="74" t="str">
        <f t="shared" si="11"/>
        <v>D</v>
      </c>
      <c r="G723" s="59"/>
    </row>
    <row r="724" spans="1:7" x14ac:dyDescent="0.2">
      <c r="A724" s="68" t="s">
        <v>1320</v>
      </c>
      <c r="B724" s="39" t="s">
        <v>226</v>
      </c>
      <c r="C724" s="39" t="s">
        <v>227</v>
      </c>
      <c r="D724" s="38">
        <v>32995</v>
      </c>
      <c r="E724" s="74" t="str">
        <f t="shared" si="11"/>
        <v>D</v>
      </c>
      <c r="G724" s="59"/>
    </row>
    <row r="725" spans="1:7" x14ac:dyDescent="0.2">
      <c r="A725" s="68" t="s">
        <v>1321</v>
      </c>
      <c r="B725" s="39" t="s">
        <v>228</v>
      </c>
      <c r="C725" s="39" t="s">
        <v>229</v>
      </c>
      <c r="D725" s="38">
        <v>32995</v>
      </c>
      <c r="E725" s="74" t="str">
        <f t="shared" si="11"/>
        <v>D</v>
      </c>
      <c r="G725" s="59"/>
    </row>
    <row r="726" spans="1:7" x14ac:dyDescent="0.2">
      <c r="A726" s="68" t="s">
        <v>1322</v>
      </c>
      <c r="B726" s="39" t="s">
        <v>230</v>
      </c>
      <c r="C726" s="39" t="s">
        <v>231</v>
      </c>
      <c r="D726" s="38">
        <v>32995</v>
      </c>
      <c r="E726" s="74" t="str">
        <f t="shared" si="11"/>
        <v>D</v>
      </c>
      <c r="G726" s="59"/>
    </row>
    <row r="727" spans="1:7" x14ac:dyDescent="0.2">
      <c r="A727" s="68" t="s">
        <v>1323</v>
      </c>
      <c r="B727" s="39" t="s">
        <v>232</v>
      </c>
      <c r="C727" s="39" t="s">
        <v>233</v>
      </c>
      <c r="D727" s="38">
        <v>32995</v>
      </c>
      <c r="E727" s="74" t="str">
        <f t="shared" si="11"/>
        <v>D</v>
      </c>
      <c r="G727" s="59"/>
    </row>
    <row r="728" spans="1:7" x14ac:dyDescent="0.2">
      <c r="A728" s="68" t="s">
        <v>1324</v>
      </c>
      <c r="B728" s="39" t="s">
        <v>234</v>
      </c>
      <c r="C728" s="39" t="s">
        <v>235</v>
      </c>
      <c r="D728" s="38">
        <v>32995</v>
      </c>
      <c r="E728" s="74" t="str">
        <f t="shared" si="11"/>
        <v>D</v>
      </c>
      <c r="G728" s="59"/>
    </row>
    <row r="729" spans="1:7" x14ac:dyDescent="0.2">
      <c r="A729" s="68" t="s">
        <v>1325</v>
      </c>
      <c r="B729" s="39" t="s">
        <v>236</v>
      </c>
      <c r="C729" s="39" t="s">
        <v>237</v>
      </c>
      <c r="D729" s="38">
        <v>32995</v>
      </c>
      <c r="E729" s="74" t="str">
        <f t="shared" si="11"/>
        <v>D</v>
      </c>
      <c r="G729" s="59"/>
    </row>
    <row r="730" spans="1:7" x14ac:dyDescent="0.2">
      <c r="A730" s="68" t="s">
        <v>1326</v>
      </c>
      <c r="B730" s="39" t="s">
        <v>238</v>
      </c>
      <c r="C730" s="39" t="s">
        <v>239</v>
      </c>
      <c r="D730" s="38">
        <v>32995</v>
      </c>
      <c r="E730" s="74" t="str">
        <f t="shared" si="11"/>
        <v>D</v>
      </c>
      <c r="G730" s="59"/>
    </row>
    <row r="731" spans="1:7" x14ac:dyDescent="0.2">
      <c r="A731" s="68" t="s">
        <v>1327</v>
      </c>
      <c r="B731" s="39" t="s">
        <v>240</v>
      </c>
      <c r="C731" s="39" t="s">
        <v>241</v>
      </c>
      <c r="D731" s="38">
        <v>32995</v>
      </c>
      <c r="E731" s="74" t="str">
        <f t="shared" si="11"/>
        <v>D</v>
      </c>
      <c r="G731" s="59"/>
    </row>
    <row r="732" spans="1:7" x14ac:dyDescent="0.2">
      <c r="A732" s="68" t="s">
        <v>1328</v>
      </c>
      <c r="B732" s="39" t="s">
        <v>242</v>
      </c>
      <c r="C732" s="39" t="s">
        <v>243</v>
      </c>
      <c r="D732" s="38">
        <v>32995</v>
      </c>
      <c r="E732" s="74" t="str">
        <f t="shared" si="11"/>
        <v>D</v>
      </c>
      <c r="G732" s="59"/>
    </row>
    <row r="733" spans="1:7" x14ac:dyDescent="0.2">
      <c r="A733" s="68" t="s">
        <v>1329</v>
      </c>
      <c r="B733" s="39" t="s">
        <v>244</v>
      </c>
      <c r="C733" s="39" t="s">
        <v>245</v>
      </c>
      <c r="D733" s="38">
        <v>32995</v>
      </c>
      <c r="E733" s="74" t="str">
        <f t="shared" si="11"/>
        <v>D</v>
      </c>
      <c r="G733" s="59"/>
    </row>
    <row r="734" spans="1:7" x14ac:dyDescent="0.2">
      <c r="A734" s="68" t="s">
        <v>1330</v>
      </c>
      <c r="B734" s="39" t="s">
        <v>246</v>
      </c>
      <c r="C734" s="39" t="s">
        <v>247</v>
      </c>
      <c r="D734" s="38">
        <v>32995</v>
      </c>
      <c r="E734" s="74" t="str">
        <f t="shared" si="11"/>
        <v>D</v>
      </c>
      <c r="G734" s="59"/>
    </row>
    <row r="735" spans="1:7" x14ac:dyDescent="0.2">
      <c r="A735" s="68" t="s">
        <v>1331</v>
      </c>
      <c r="B735" s="39" t="s">
        <v>248</v>
      </c>
      <c r="C735" s="39" t="s">
        <v>249</v>
      </c>
      <c r="D735" s="38">
        <v>32995</v>
      </c>
      <c r="E735" s="74" t="str">
        <f t="shared" si="11"/>
        <v>D</v>
      </c>
      <c r="G735" s="59"/>
    </row>
    <row r="736" spans="1:7" x14ac:dyDescent="0.2">
      <c r="A736" s="68" t="s">
        <v>1332</v>
      </c>
      <c r="B736" s="39" t="s">
        <v>250</v>
      </c>
      <c r="C736" s="39" t="s">
        <v>251</v>
      </c>
      <c r="D736" s="38">
        <v>32995</v>
      </c>
      <c r="E736" s="74" t="str">
        <f t="shared" si="11"/>
        <v>D</v>
      </c>
      <c r="G736" s="59"/>
    </row>
    <row r="737" spans="1:7" x14ac:dyDescent="0.2">
      <c r="A737" s="68" t="s">
        <v>1333</v>
      </c>
      <c r="B737" s="39" t="s">
        <v>252</v>
      </c>
      <c r="C737" s="39" t="s">
        <v>253</v>
      </c>
      <c r="D737" s="38">
        <v>32995</v>
      </c>
      <c r="E737" s="74" t="str">
        <f t="shared" si="11"/>
        <v>D</v>
      </c>
      <c r="G737" s="59"/>
    </row>
    <row r="738" spans="1:7" x14ac:dyDescent="0.2">
      <c r="A738" s="68" t="s">
        <v>1334</v>
      </c>
      <c r="B738" s="39" t="s">
        <v>254</v>
      </c>
      <c r="C738" s="39" t="s">
        <v>255</v>
      </c>
      <c r="D738" s="38">
        <v>32995</v>
      </c>
      <c r="E738" s="74" t="str">
        <f t="shared" si="11"/>
        <v>D</v>
      </c>
      <c r="G738" s="59"/>
    </row>
    <row r="739" spans="1:7" x14ac:dyDescent="0.2">
      <c r="A739" s="68" t="s">
        <v>1335</v>
      </c>
      <c r="B739" s="39" t="s">
        <v>256</v>
      </c>
      <c r="C739" s="39" t="s">
        <v>257</v>
      </c>
      <c r="D739" s="38">
        <v>32995</v>
      </c>
      <c r="E739" s="74" t="str">
        <f t="shared" si="11"/>
        <v>D</v>
      </c>
      <c r="G739" s="59"/>
    </row>
    <row r="740" spans="1:7" x14ac:dyDescent="0.2">
      <c r="A740" s="68" t="s">
        <v>1336</v>
      </c>
      <c r="B740" s="39" t="s">
        <v>258</v>
      </c>
      <c r="C740" s="39" t="s">
        <v>259</v>
      </c>
      <c r="D740" s="38">
        <v>32995</v>
      </c>
      <c r="E740" s="74" t="str">
        <f t="shared" si="11"/>
        <v>D</v>
      </c>
      <c r="G740" s="59"/>
    </row>
    <row r="741" spans="1:7" x14ac:dyDescent="0.2">
      <c r="A741" s="68" t="s">
        <v>1337</v>
      </c>
      <c r="B741" s="39" t="s">
        <v>260</v>
      </c>
      <c r="C741" s="39" t="s">
        <v>261</v>
      </c>
      <c r="D741" s="38">
        <v>32995</v>
      </c>
      <c r="E741" s="74" t="str">
        <f t="shared" si="11"/>
        <v>D</v>
      </c>
      <c r="G741" s="59"/>
    </row>
    <row r="742" spans="1:7" x14ac:dyDescent="0.2">
      <c r="A742" s="68" t="s">
        <v>1338</v>
      </c>
      <c r="B742" s="39" t="s">
        <v>262</v>
      </c>
      <c r="C742" s="39" t="s">
        <v>263</v>
      </c>
      <c r="D742" s="38">
        <v>32995</v>
      </c>
      <c r="E742" s="74" t="str">
        <f t="shared" si="11"/>
        <v>D</v>
      </c>
      <c r="G742" s="59"/>
    </row>
    <row r="743" spans="1:7" x14ac:dyDescent="0.2">
      <c r="A743" s="68" t="s">
        <v>1339</v>
      </c>
      <c r="B743" s="39" t="s">
        <v>264</v>
      </c>
      <c r="C743" s="39" t="s">
        <v>265</v>
      </c>
      <c r="D743" s="38">
        <v>32995</v>
      </c>
      <c r="E743" s="74" t="str">
        <f t="shared" si="11"/>
        <v>D</v>
      </c>
      <c r="G743" s="59"/>
    </row>
    <row r="744" spans="1:7" x14ac:dyDescent="0.2">
      <c r="A744" s="68" t="s">
        <v>1340</v>
      </c>
      <c r="B744" s="39" t="s">
        <v>266</v>
      </c>
      <c r="C744" s="39" t="s">
        <v>267</v>
      </c>
      <c r="D744" s="38">
        <v>32995</v>
      </c>
      <c r="E744" s="74" t="str">
        <f t="shared" si="11"/>
        <v>D</v>
      </c>
      <c r="G744" s="59"/>
    </row>
    <row r="745" spans="1:7" x14ac:dyDescent="0.2">
      <c r="A745" s="68" t="s">
        <v>1341</v>
      </c>
      <c r="B745" s="39" t="s">
        <v>268</v>
      </c>
      <c r="C745" s="39" t="s">
        <v>269</v>
      </c>
      <c r="D745" s="38">
        <v>32995</v>
      </c>
      <c r="E745" s="74" t="str">
        <f t="shared" si="11"/>
        <v>D</v>
      </c>
      <c r="G745" s="59"/>
    </row>
    <row r="746" spans="1:7" x14ac:dyDescent="0.2">
      <c r="A746" s="68" t="s">
        <v>1342</v>
      </c>
      <c r="B746" s="39" t="s">
        <v>270</v>
      </c>
      <c r="C746" s="39" t="s">
        <v>271</v>
      </c>
      <c r="D746" s="38">
        <v>32995</v>
      </c>
      <c r="E746" s="74" t="str">
        <f t="shared" si="11"/>
        <v>D</v>
      </c>
      <c r="G746" s="59"/>
    </row>
    <row r="747" spans="1:7" x14ac:dyDescent="0.2">
      <c r="A747" s="68" t="s">
        <v>1343</v>
      </c>
      <c r="B747" s="39" t="s">
        <v>272</v>
      </c>
      <c r="C747" s="39" t="s">
        <v>273</v>
      </c>
      <c r="D747" s="38">
        <v>32995</v>
      </c>
      <c r="E747" s="74" t="str">
        <f t="shared" si="11"/>
        <v>D</v>
      </c>
      <c r="G747" s="59"/>
    </row>
    <row r="748" spans="1:7" x14ac:dyDescent="0.2">
      <c r="A748" s="68" t="s">
        <v>1344</v>
      </c>
      <c r="B748" s="39" t="s">
        <v>274</v>
      </c>
      <c r="C748" s="39" t="s">
        <v>275</v>
      </c>
      <c r="D748" s="38">
        <v>32995</v>
      </c>
      <c r="E748" s="74" t="str">
        <f t="shared" si="11"/>
        <v>D</v>
      </c>
      <c r="G748" s="59"/>
    </row>
    <row r="749" spans="1:7" x14ac:dyDescent="0.2">
      <c r="A749" s="68" t="s">
        <v>1345</v>
      </c>
      <c r="B749" s="39" t="s">
        <v>276</v>
      </c>
      <c r="C749" s="39" t="s">
        <v>277</v>
      </c>
      <c r="D749" s="38">
        <v>32995</v>
      </c>
      <c r="E749" s="74" t="str">
        <f t="shared" si="11"/>
        <v>D</v>
      </c>
      <c r="G749" s="59"/>
    </row>
    <row r="750" spans="1:7" x14ac:dyDescent="0.2">
      <c r="A750" s="68" t="s">
        <v>1346</v>
      </c>
      <c r="B750" s="39" t="s">
        <v>278</v>
      </c>
      <c r="C750" s="39" t="s">
        <v>279</v>
      </c>
      <c r="D750" s="38">
        <v>32995</v>
      </c>
      <c r="E750" s="74" t="str">
        <f t="shared" si="11"/>
        <v>D</v>
      </c>
      <c r="G750" s="59"/>
    </row>
    <row r="751" spans="1:7" x14ac:dyDescent="0.2">
      <c r="A751" s="68" t="s">
        <v>1347</v>
      </c>
      <c r="B751" s="39" t="s">
        <v>280</v>
      </c>
      <c r="C751" s="39" t="s">
        <v>281</v>
      </c>
      <c r="D751" s="38">
        <v>32995</v>
      </c>
      <c r="E751" s="74" t="str">
        <f t="shared" si="11"/>
        <v>D</v>
      </c>
      <c r="G751" s="59"/>
    </row>
    <row r="752" spans="1:7" x14ac:dyDescent="0.2">
      <c r="A752" s="68" t="s">
        <v>1348</v>
      </c>
      <c r="B752" s="39" t="s">
        <v>282</v>
      </c>
      <c r="C752" s="39" t="s">
        <v>283</v>
      </c>
      <c r="D752" s="38">
        <v>32995</v>
      </c>
      <c r="E752" s="74" t="str">
        <f t="shared" si="11"/>
        <v>D</v>
      </c>
      <c r="G752" s="59"/>
    </row>
    <row r="753" spans="1:7" x14ac:dyDescent="0.2">
      <c r="A753" s="68" t="s">
        <v>1349</v>
      </c>
      <c r="B753" s="39" t="s">
        <v>284</v>
      </c>
      <c r="C753" s="39" t="s">
        <v>285</v>
      </c>
      <c r="D753" s="38">
        <v>32995</v>
      </c>
      <c r="E753" s="74" t="str">
        <f t="shared" si="11"/>
        <v>D</v>
      </c>
      <c r="G753" s="59"/>
    </row>
    <row r="754" spans="1:7" x14ac:dyDescent="0.2">
      <c r="A754" s="68" t="s">
        <v>1350</v>
      </c>
      <c r="B754" s="39" t="s">
        <v>286</v>
      </c>
      <c r="C754" s="39" t="s">
        <v>287</v>
      </c>
      <c r="D754" s="38">
        <v>32995</v>
      </c>
      <c r="E754" s="74" t="str">
        <f t="shared" si="11"/>
        <v>D</v>
      </c>
      <c r="G754" s="59"/>
    </row>
    <row r="755" spans="1:7" x14ac:dyDescent="0.2">
      <c r="A755" s="68" t="s">
        <v>1351</v>
      </c>
      <c r="B755" s="39" t="s">
        <v>288</v>
      </c>
      <c r="C755" s="39" t="s">
        <v>289</v>
      </c>
      <c r="D755" s="38">
        <v>32995</v>
      </c>
      <c r="E755" s="74" t="str">
        <f t="shared" si="11"/>
        <v>D</v>
      </c>
      <c r="G755" s="59"/>
    </row>
    <row r="756" spans="1:7" x14ac:dyDescent="0.2">
      <c r="A756" s="68" t="s">
        <v>1352</v>
      </c>
      <c r="B756" s="39" t="s">
        <v>290</v>
      </c>
      <c r="C756" s="39" t="s">
        <v>291</v>
      </c>
      <c r="D756" s="38">
        <v>32995</v>
      </c>
      <c r="E756" s="74" t="str">
        <f t="shared" si="11"/>
        <v>D</v>
      </c>
      <c r="G756" s="59"/>
    </row>
    <row r="757" spans="1:7" x14ac:dyDescent="0.2">
      <c r="A757" s="68" t="s">
        <v>1353</v>
      </c>
      <c r="B757" s="39" t="s">
        <v>292</v>
      </c>
      <c r="C757" s="39" t="s">
        <v>293</v>
      </c>
      <c r="D757" s="38">
        <v>32995</v>
      </c>
      <c r="E757" s="74" t="str">
        <f t="shared" si="11"/>
        <v>D</v>
      </c>
      <c r="G757" s="59"/>
    </row>
    <row r="758" spans="1:7" x14ac:dyDescent="0.2">
      <c r="A758" s="67" t="s">
        <v>1354</v>
      </c>
      <c r="B758" s="49" t="s">
        <v>294</v>
      </c>
      <c r="C758" s="49" t="s">
        <v>295</v>
      </c>
      <c r="D758" s="57">
        <v>32995</v>
      </c>
      <c r="E758" s="74" t="str">
        <f t="shared" si="11"/>
        <v>D</v>
      </c>
      <c r="G758" s="59"/>
    </row>
    <row r="759" spans="1:7" x14ac:dyDescent="0.2">
      <c r="A759" s="67" t="s">
        <v>1355</v>
      </c>
      <c r="B759" s="49" t="s">
        <v>2320</v>
      </c>
      <c r="C759" s="49" t="s">
        <v>338</v>
      </c>
      <c r="D759" s="57">
        <v>13195</v>
      </c>
      <c r="E759" s="74" t="str">
        <f t="shared" si="11"/>
        <v>C</v>
      </c>
      <c r="G759" s="59"/>
    </row>
    <row r="760" spans="1:7" x14ac:dyDescent="0.2">
      <c r="A760" s="67" t="s">
        <v>1356</v>
      </c>
      <c r="B760" s="49" t="s">
        <v>2321</v>
      </c>
      <c r="C760" s="49" t="s">
        <v>2322</v>
      </c>
      <c r="D760" s="57">
        <v>7695</v>
      </c>
      <c r="E760" s="74" t="str">
        <f t="shared" si="11"/>
        <v>B</v>
      </c>
      <c r="G760" s="59"/>
    </row>
    <row r="761" spans="1:7" x14ac:dyDescent="0.2">
      <c r="A761" s="67" t="s">
        <v>1357</v>
      </c>
      <c r="B761" s="49" t="s">
        <v>359</v>
      </c>
      <c r="C761" s="49" t="s">
        <v>360</v>
      </c>
      <c r="D761" s="57">
        <v>325</v>
      </c>
      <c r="E761" s="74" t="str">
        <f t="shared" si="11"/>
        <v>A</v>
      </c>
      <c r="G761" s="59"/>
    </row>
    <row r="762" spans="1:7" x14ac:dyDescent="0.2">
      <c r="A762" s="67" t="s">
        <v>1358</v>
      </c>
      <c r="B762" s="49" t="s">
        <v>590</v>
      </c>
      <c r="C762" s="49" t="s">
        <v>591</v>
      </c>
      <c r="D762" s="57">
        <v>490</v>
      </c>
      <c r="E762" s="74" t="str">
        <f t="shared" si="11"/>
        <v>A</v>
      </c>
      <c r="G762" s="59"/>
    </row>
    <row r="763" spans="1:7" x14ac:dyDescent="0.2">
      <c r="A763" s="67" t="s">
        <v>1359</v>
      </c>
      <c r="B763" s="49" t="s">
        <v>592</v>
      </c>
      <c r="C763" s="49" t="s">
        <v>593</v>
      </c>
      <c r="D763" s="57">
        <v>490</v>
      </c>
      <c r="E763" s="74" t="str">
        <f t="shared" si="11"/>
        <v>A</v>
      </c>
      <c r="G763" s="59"/>
    </row>
    <row r="764" spans="1:7" x14ac:dyDescent="0.2">
      <c r="A764" s="67" t="s">
        <v>1360</v>
      </c>
      <c r="B764" s="49" t="s">
        <v>173</v>
      </c>
      <c r="C764" s="49" t="s">
        <v>595</v>
      </c>
      <c r="D764" s="57">
        <v>1095</v>
      </c>
      <c r="E764" s="74" t="str">
        <f t="shared" si="11"/>
        <v>B</v>
      </c>
      <c r="G764" s="59"/>
    </row>
    <row r="765" spans="1:7" x14ac:dyDescent="0.2">
      <c r="A765" s="67" t="s">
        <v>1361</v>
      </c>
      <c r="B765" s="49" t="s">
        <v>518</v>
      </c>
      <c r="C765" s="49" t="s">
        <v>595</v>
      </c>
      <c r="D765" s="57">
        <v>4395</v>
      </c>
      <c r="E765" s="74" t="str">
        <f t="shared" si="11"/>
        <v>B</v>
      </c>
      <c r="G765" s="59"/>
    </row>
    <row r="766" spans="1:7" x14ac:dyDescent="0.2">
      <c r="A766" s="67" t="s">
        <v>1362</v>
      </c>
      <c r="B766" s="49" t="s">
        <v>588</v>
      </c>
      <c r="C766" s="49" t="s">
        <v>589</v>
      </c>
      <c r="D766" s="57">
        <v>5495</v>
      </c>
      <c r="E766" s="74" t="str">
        <f t="shared" si="11"/>
        <v>B</v>
      </c>
      <c r="G766" s="59"/>
    </row>
    <row r="767" spans="1:7" x14ac:dyDescent="0.2">
      <c r="A767" s="67" t="s">
        <v>1363</v>
      </c>
      <c r="B767" s="49" t="s">
        <v>1851</v>
      </c>
      <c r="C767" s="49" t="s">
        <v>550</v>
      </c>
      <c r="D767" s="57">
        <v>5495</v>
      </c>
      <c r="E767" s="74" t="str">
        <f t="shared" si="11"/>
        <v>B</v>
      </c>
      <c r="G767" s="59"/>
    </row>
    <row r="768" spans="1:7" x14ac:dyDescent="0.2">
      <c r="A768" s="67" t="s">
        <v>1364</v>
      </c>
      <c r="B768" s="49" t="s">
        <v>1852</v>
      </c>
      <c r="C768" s="49" t="s">
        <v>551</v>
      </c>
      <c r="D768" s="57">
        <v>5495</v>
      </c>
      <c r="E768" s="74" t="str">
        <f t="shared" si="11"/>
        <v>B</v>
      </c>
      <c r="G768" s="59"/>
    </row>
    <row r="769" spans="1:7" x14ac:dyDescent="0.2">
      <c r="A769" s="67" t="s">
        <v>1365</v>
      </c>
      <c r="B769" s="49" t="s">
        <v>1853</v>
      </c>
      <c r="C769" s="49" t="s">
        <v>552</v>
      </c>
      <c r="D769" s="57">
        <v>5495</v>
      </c>
      <c r="E769" s="74" t="str">
        <f t="shared" si="11"/>
        <v>B</v>
      </c>
      <c r="G769" s="59"/>
    </row>
    <row r="770" spans="1:7" x14ac:dyDescent="0.2">
      <c r="A770" s="67" t="s">
        <v>1366</v>
      </c>
      <c r="B770" s="49" t="s">
        <v>1854</v>
      </c>
      <c r="C770" s="49" t="s">
        <v>553</v>
      </c>
      <c r="D770" s="57">
        <v>5495</v>
      </c>
      <c r="E770" s="74" t="str">
        <f t="shared" si="11"/>
        <v>B</v>
      </c>
      <c r="G770" s="59"/>
    </row>
    <row r="771" spans="1:7" x14ac:dyDescent="0.2">
      <c r="A771" s="67" t="s">
        <v>1367</v>
      </c>
      <c r="B771" s="49" t="s">
        <v>1855</v>
      </c>
      <c r="C771" s="49" t="s">
        <v>554</v>
      </c>
      <c r="D771" s="57">
        <v>5495</v>
      </c>
      <c r="E771" s="74" t="str">
        <f t="shared" si="11"/>
        <v>B</v>
      </c>
      <c r="G771" s="59"/>
    </row>
    <row r="772" spans="1:7" x14ac:dyDescent="0.2">
      <c r="A772" s="67" t="s">
        <v>1368</v>
      </c>
      <c r="B772" s="49" t="s">
        <v>1856</v>
      </c>
      <c r="C772" s="49" t="s">
        <v>555</v>
      </c>
      <c r="D772" s="57">
        <v>5495</v>
      </c>
      <c r="E772" s="74" t="str">
        <f t="shared" si="11"/>
        <v>B</v>
      </c>
      <c r="G772" s="59"/>
    </row>
    <row r="773" spans="1:7" x14ac:dyDescent="0.2">
      <c r="A773" s="67" t="s">
        <v>1369</v>
      </c>
      <c r="B773" s="49" t="s">
        <v>1857</v>
      </c>
      <c r="C773" s="49" t="s">
        <v>556</v>
      </c>
      <c r="D773" s="57">
        <v>5495</v>
      </c>
      <c r="E773" s="74" t="str">
        <f t="shared" ref="E773:E836" si="12">VLOOKUP(D773,$G$4:$H$7,2)</f>
        <v>B</v>
      </c>
      <c r="G773" s="59"/>
    </row>
    <row r="774" spans="1:7" x14ac:dyDescent="0.2">
      <c r="A774" s="67" t="s">
        <v>1370</v>
      </c>
      <c r="B774" s="49" t="s">
        <v>1858</v>
      </c>
      <c r="C774" s="49" t="s">
        <v>557</v>
      </c>
      <c r="D774" s="57">
        <v>5495</v>
      </c>
      <c r="E774" s="74" t="str">
        <f t="shared" si="12"/>
        <v>B</v>
      </c>
      <c r="G774" s="59"/>
    </row>
    <row r="775" spans="1:7" x14ac:dyDescent="0.2">
      <c r="A775" s="67" t="s">
        <v>1371</v>
      </c>
      <c r="B775" s="49" t="s">
        <v>2058</v>
      </c>
      <c r="C775" s="49" t="s">
        <v>339</v>
      </c>
      <c r="D775" s="57">
        <v>39595</v>
      </c>
      <c r="E775" s="74" t="str">
        <f t="shared" si="12"/>
        <v>D</v>
      </c>
      <c r="G775" s="59"/>
    </row>
    <row r="776" spans="1:7" x14ac:dyDescent="0.2">
      <c r="A776" s="67" t="s">
        <v>1372</v>
      </c>
      <c r="B776" s="49" t="s">
        <v>2059</v>
      </c>
      <c r="C776" s="49" t="s">
        <v>340</v>
      </c>
      <c r="D776" s="57">
        <v>29695</v>
      </c>
      <c r="E776" s="74" t="str">
        <f t="shared" si="12"/>
        <v>D</v>
      </c>
      <c r="G776" s="59"/>
    </row>
    <row r="777" spans="1:7" x14ac:dyDescent="0.2">
      <c r="A777" s="67" t="s">
        <v>1373</v>
      </c>
      <c r="B777" s="49" t="s">
        <v>2060</v>
      </c>
      <c r="C777" s="49" t="s">
        <v>341</v>
      </c>
      <c r="D777" s="57">
        <v>19795</v>
      </c>
      <c r="E777" s="74" t="str">
        <f t="shared" si="12"/>
        <v>C</v>
      </c>
      <c r="G777" s="59"/>
    </row>
    <row r="778" spans="1:7" x14ac:dyDescent="0.2">
      <c r="A778" s="67" t="s">
        <v>1374</v>
      </c>
      <c r="B778" s="49" t="s">
        <v>2061</v>
      </c>
      <c r="C778" s="49" t="s">
        <v>342</v>
      </c>
      <c r="D778" s="57">
        <v>41795</v>
      </c>
      <c r="E778" s="74" t="str">
        <f t="shared" si="12"/>
        <v>D</v>
      </c>
      <c r="G778" s="59"/>
    </row>
    <row r="779" spans="1:7" x14ac:dyDescent="0.2">
      <c r="A779" s="67" t="s">
        <v>1375</v>
      </c>
      <c r="B779" s="49" t="s">
        <v>2062</v>
      </c>
      <c r="C779" s="49" t="s">
        <v>343</v>
      </c>
      <c r="D779" s="57">
        <v>31345</v>
      </c>
      <c r="E779" s="74" t="str">
        <f t="shared" si="12"/>
        <v>D</v>
      </c>
      <c r="G779" s="59"/>
    </row>
    <row r="780" spans="1:7" x14ac:dyDescent="0.2">
      <c r="A780" s="67" t="s">
        <v>1376</v>
      </c>
      <c r="B780" s="49" t="s">
        <v>2063</v>
      </c>
      <c r="C780" s="49" t="s">
        <v>344</v>
      </c>
      <c r="D780" s="57">
        <v>20895</v>
      </c>
      <c r="E780" s="74" t="str">
        <f t="shared" si="12"/>
        <v>C</v>
      </c>
      <c r="G780" s="59"/>
    </row>
    <row r="781" spans="1:7" x14ac:dyDescent="0.2">
      <c r="A781" s="67" t="s">
        <v>1377</v>
      </c>
      <c r="B781" s="49" t="s">
        <v>2064</v>
      </c>
      <c r="C781" s="49" t="s">
        <v>345</v>
      </c>
      <c r="D781" s="57">
        <v>8795</v>
      </c>
      <c r="E781" s="74" t="str">
        <f t="shared" si="12"/>
        <v>B</v>
      </c>
      <c r="G781" s="59"/>
    </row>
    <row r="782" spans="1:7" x14ac:dyDescent="0.2">
      <c r="A782" s="67" t="s">
        <v>1378</v>
      </c>
      <c r="B782" s="49" t="s">
        <v>2065</v>
      </c>
      <c r="C782" s="49" t="s">
        <v>346</v>
      </c>
      <c r="D782" s="57">
        <v>32995</v>
      </c>
      <c r="E782" s="74" t="str">
        <f t="shared" si="12"/>
        <v>D</v>
      </c>
      <c r="G782" s="59"/>
    </row>
    <row r="783" spans="1:7" x14ac:dyDescent="0.2">
      <c r="A783" s="67" t="s">
        <v>1379</v>
      </c>
      <c r="B783" s="49" t="s">
        <v>2066</v>
      </c>
      <c r="C783" s="49" t="s">
        <v>347</v>
      </c>
      <c r="D783" s="57">
        <v>21995</v>
      </c>
      <c r="E783" s="74" t="str">
        <f t="shared" si="12"/>
        <v>C</v>
      </c>
      <c r="G783" s="59"/>
    </row>
    <row r="784" spans="1:7" x14ac:dyDescent="0.2">
      <c r="A784" s="67" t="s">
        <v>1380</v>
      </c>
      <c r="B784" s="49" t="s">
        <v>2067</v>
      </c>
      <c r="C784" s="49" t="s">
        <v>348</v>
      </c>
      <c r="D784" s="57">
        <v>21995</v>
      </c>
      <c r="E784" s="74" t="str">
        <f t="shared" si="12"/>
        <v>C</v>
      </c>
      <c r="G784" s="59"/>
    </row>
    <row r="785" spans="1:7" x14ac:dyDescent="0.2">
      <c r="A785" s="67" t="s">
        <v>1381</v>
      </c>
      <c r="B785" s="49" t="s">
        <v>2068</v>
      </c>
      <c r="C785" s="49" t="s">
        <v>349</v>
      </c>
      <c r="D785" s="57">
        <v>21995</v>
      </c>
      <c r="E785" s="74" t="str">
        <f t="shared" si="12"/>
        <v>C</v>
      </c>
      <c r="G785" s="59"/>
    </row>
    <row r="786" spans="1:7" x14ac:dyDescent="0.2">
      <c r="A786" s="68" t="s">
        <v>1382</v>
      </c>
      <c r="B786" s="39" t="s">
        <v>2069</v>
      </c>
      <c r="C786" s="39" t="s">
        <v>2069</v>
      </c>
      <c r="D786" s="38">
        <v>148495</v>
      </c>
      <c r="E786" s="74" t="str">
        <f t="shared" si="12"/>
        <v>D</v>
      </c>
      <c r="G786" s="59"/>
    </row>
    <row r="787" spans="1:7" x14ac:dyDescent="0.2">
      <c r="A787" s="68" t="s">
        <v>1383</v>
      </c>
      <c r="B787" s="39" t="s">
        <v>2070</v>
      </c>
      <c r="C787" s="39" t="s">
        <v>2070</v>
      </c>
      <c r="D787" s="38">
        <v>98995</v>
      </c>
      <c r="E787" s="74" t="str">
        <f t="shared" si="12"/>
        <v>D</v>
      </c>
      <c r="G787" s="59"/>
    </row>
    <row r="788" spans="1:7" x14ac:dyDescent="0.2">
      <c r="A788" s="68" t="s">
        <v>1384</v>
      </c>
      <c r="B788" s="39" t="s">
        <v>2071</v>
      </c>
      <c r="C788" s="39" t="s">
        <v>2071</v>
      </c>
      <c r="D788" s="38">
        <v>148495</v>
      </c>
      <c r="E788" s="74" t="str">
        <f t="shared" si="12"/>
        <v>D</v>
      </c>
      <c r="G788" s="59"/>
    </row>
    <row r="789" spans="1:7" x14ac:dyDescent="0.2">
      <c r="A789" s="68" t="s">
        <v>1385</v>
      </c>
      <c r="B789" s="39" t="s">
        <v>2072</v>
      </c>
      <c r="C789" s="39" t="s">
        <v>2072</v>
      </c>
      <c r="D789" s="38">
        <v>98995</v>
      </c>
      <c r="E789" s="74" t="str">
        <f t="shared" si="12"/>
        <v>D</v>
      </c>
      <c r="G789" s="59"/>
    </row>
    <row r="790" spans="1:7" x14ac:dyDescent="0.2">
      <c r="A790" s="68" t="s">
        <v>1386</v>
      </c>
      <c r="B790" s="39" t="s">
        <v>2073</v>
      </c>
      <c r="C790" s="39" t="s">
        <v>2073</v>
      </c>
      <c r="D790" s="38">
        <v>65995</v>
      </c>
      <c r="E790" s="74" t="str">
        <f t="shared" si="12"/>
        <v>D</v>
      </c>
      <c r="G790" s="59"/>
    </row>
    <row r="791" spans="1:7" x14ac:dyDescent="0.2">
      <c r="A791" s="67" t="s">
        <v>1387</v>
      </c>
      <c r="B791" s="49" t="s">
        <v>2074</v>
      </c>
      <c r="C791" s="49" t="s">
        <v>350</v>
      </c>
      <c r="D791" s="57">
        <v>10445</v>
      </c>
      <c r="E791" s="74" t="str">
        <f t="shared" si="12"/>
        <v>C</v>
      </c>
      <c r="G791" s="59"/>
    </row>
    <row r="792" spans="1:7" x14ac:dyDescent="0.2">
      <c r="A792" s="67" t="s">
        <v>1388</v>
      </c>
      <c r="B792" s="49" t="s">
        <v>2075</v>
      </c>
      <c r="C792" s="49" t="s">
        <v>13</v>
      </c>
      <c r="D792" s="57">
        <v>7145</v>
      </c>
      <c r="E792" s="74" t="str">
        <f t="shared" si="12"/>
        <v>B</v>
      </c>
      <c r="G792" s="59"/>
    </row>
    <row r="793" spans="1:7" x14ac:dyDescent="0.2">
      <c r="A793" s="67" t="s">
        <v>1389</v>
      </c>
      <c r="B793" s="49" t="s">
        <v>2076</v>
      </c>
      <c r="C793" s="49" t="s">
        <v>14</v>
      </c>
      <c r="D793" s="57">
        <v>5495</v>
      </c>
      <c r="E793" s="74" t="str">
        <f t="shared" si="12"/>
        <v>B</v>
      </c>
      <c r="G793" s="59"/>
    </row>
    <row r="794" spans="1:7" x14ac:dyDescent="0.2">
      <c r="A794" s="67" t="s">
        <v>1390</v>
      </c>
      <c r="B794" s="49" t="s">
        <v>2077</v>
      </c>
      <c r="C794" s="49" t="s">
        <v>15</v>
      </c>
      <c r="D794" s="57">
        <v>8245</v>
      </c>
      <c r="E794" s="74" t="str">
        <f t="shared" si="12"/>
        <v>B</v>
      </c>
      <c r="G794" s="59"/>
    </row>
    <row r="795" spans="1:7" x14ac:dyDescent="0.2">
      <c r="A795" s="67" t="s">
        <v>1391</v>
      </c>
      <c r="B795" s="49" t="s">
        <v>2078</v>
      </c>
      <c r="C795" s="49" t="s">
        <v>16</v>
      </c>
      <c r="D795" s="57">
        <v>3845</v>
      </c>
      <c r="E795" s="74" t="str">
        <f t="shared" si="12"/>
        <v>B</v>
      </c>
      <c r="G795" s="59"/>
    </row>
    <row r="796" spans="1:7" x14ac:dyDescent="0.2">
      <c r="A796" s="67" t="s">
        <v>1392</v>
      </c>
      <c r="B796" s="49" t="s">
        <v>2079</v>
      </c>
      <c r="C796" s="49" t="s">
        <v>459</v>
      </c>
      <c r="D796" s="57">
        <v>2195</v>
      </c>
      <c r="E796" s="74" t="str">
        <f t="shared" si="12"/>
        <v>B</v>
      </c>
      <c r="G796" s="59"/>
    </row>
    <row r="797" spans="1:7" x14ac:dyDescent="0.2">
      <c r="A797" s="67" t="s">
        <v>1393</v>
      </c>
      <c r="B797" s="49" t="s">
        <v>2080</v>
      </c>
      <c r="C797" s="49" t="s">
        <v>460</v>
      </c>
      <c r="D797" s="57">
        <v>2195</v>
      </c>
      <c r="E797" s="74" t="str">
        <f t="shared" si="12"/>
        <v>B</v>
      </c>
      <c r="G797" s="59"/>
    </row>
    <row r="798" spans="1:7" x14ac:dyDescent="0.2">
      <c r="A798" s="67" t="s">
        <v>1394</v>
      </c>
      <c r="B798" s="49" t="s">
        <v>2081</v>
      </c>
      <c r="C798" s="49" t="s">
        <v>461</v>
      </c>
      <c r="D798" s="57">
        <v>3295</v>
      </c>
      <c r="E798" s="74" t="str">
        <f t="shared" si="12"/>
        <v>B</v>
      </c>
      <c r="G798" s="59"/>
    </row>
    <row r="799" spans="1:7" x14ac:dyDescent="0.2">
      <c r="A799" s="67" t="s">
        <v>1395</v>
      </c>
      <c r="B799" s="49" t="s">
        <v>2082</v>
      </c>
      <c r="C799" s="49" t="s">
        <v>462</v>
      </c>
      <c r="D799" s="57">
        <v>3295</v>
      </c>
      <c r="E799" s="74" t="str">
        <f t="shared" si="12"/>
        <v>B</v>
      </c>
      <c r="G799" s="59"/>
    </row>
    <row r="800" spans="1:7" x14ac:dyDescent="0.2">
      <c r="A800" s="67" t="s">
        <v>1396</v>
      </c>
      <c r="B800" s="49" t="s">
        <v>2083</v>
      </c>
      <c r="C800" s="49" t="s">
        <v>463</v>
      </c>
      <c r="D800" s="57">
        <v>1095</v>
      </c>
      <c r="E800" s="74" t="str">
        <f t="shared" si="12"/>
        <v>B</v>
      </c>
      <c r="G800" s="59"/>
    </row>
    <row r="801" spans="1:7" x14ac:dyDescent="0.2">
      <c r="A801" s="67" t="s">
        <v>1397</v>
      </c>
      <c r="B801" s="49" t="s">
        <v>2084</v>
      </c>
      <c r="C801" s="49" t="s">
        <v>464</v>
      </c>
      <c r="D801" s="57">
        <v>1095</v>
      </c>
      <c r="E801" s="74" t="str">
        <f t="shared" si="12"/>
        <v>B</v>
      </c>
      <c r="G801" s="59"/>
    </row>
    <row r="802" spans="1:7" x14ac:dyDescent="0.2">
      <c r="A802" s="67" t="s">
        <v>1398</v>
      </c>
      <c r="B802" s="49" t="s">
        <v>2085</v>
      </c>
      <c r="C802" s="49" t="s">
        <v>465</v>
      </c>
      <c r="D802" s="57">
        <v>825</v>
      </c>
      <c r="E802" s="74" t="str">
        <f t="shared" si="12"/>
        <v>A</v>
      </c>
      <c r="G802" s="59"/>
    </row>
    <row r="803" spans="1:7" x14ac:dyDescent="0.2">
      <c r="A803" s="67" t="s">
        <v>1399</v>
      </c>
      <c r="B803" s="49" t="s">
        <v>2086</v>
      </c>
      <c r="C803" s="49" t="s">
        <v>466</v>
      </c>
      <c r="D803" s="57">
        <v>545</v>
      </c>
      <c r="E803" s="74" t="str">
        <f t="shared" si="12"/>
        <v>A</v>
      </c>
      <c r="G803" s="59"/>
    </row>
    <row r="804" spans="1:7" x14ac:dyDescent="0.2">
      <c r="A804" s="67" t="s">
        <v>1400</v>
      </c>
      <c r="B804" s="49" t="s">
        <v>2087</v>
      </c>
      <c r="C804" s="49" t="s">
        <v>2088</v>
      </c>
      <c r="D804" s="57">
        <v>198</v>
      </c>
      <c r="E804" s="74" t="str">
        <f t="shared" si="12"/>
        <v>A</v>
      </c>
      <c r="G804" s="59"/>
    </row>
    <row r="805" spans="1:7" x14ac:dyDescent="0.2">
      <c r="A805" s="67" t="s">
        <v>1401</v>
      </c>
      <c r="B805" s="49" t="s">
        <v>2089</v>
      </c>
      <c r="C805" s="49" t="s">
        <v>2090</v>
      </c>
      <c r="D805" s="57">
        <v>198</v>
      </c>
      <c r="E805" s="74" t="str">
        <f t="shared" si="12"/>
        <v>A</v>
      </c>
      <c r="G805" s="59"/>
    </row>
    <row r="806" spans="1:7" x14ac:dyDescent="0.2">
      <c r="A806" s="67" t="s">
        <v>1402</v>
      </c>
      <c r="B806" s="49" t="s">
        <v>2091</v>
      </c>
      <c r="C806" s="49" t="s">
        <v>2092</v>
      </c>
      <c r="D806" s="57">
        <v>198</v>
      </c>
      <c r="E806" s="74" t="str">
        <f t="shared" si="12"/>
        <v>A</v>
      </c>
      <c r="G806" s="59"/>
    </row>
    <row r="807" spans="1:7" x14ac:dyDescent="0.2">
      <c r="A807" s="67" t="s">
        <v>1403</v>
      </c>
      <c r="B807" s="49" t="s">
        <v>2093</v>
      </c>
      <c r="C807" s="49" t="s">
        <v>2094</v>
      </c>
      <c r="D807" s="57">
        <v>198</v>
      </c>
      <c r="E807" s="74" t="str">
        <f t="shared" si="12"/>
        <v>A</v>
      </c>
      <c r="G807" s="59"/>
    </row>
    <row r="808" spans="1:7" x14ac:dyDescent="0.2">
      <c r="A808" s="67" t="s">
        <v>1404</v>
      </c>
      <c r="B808" s="49" t="s">
        <v>2095</v>
      </c>
      <c r="C808" s="49" t="s">
        <v>2096</v>
      </c>
      <c r="D808" s="57">
        <v>198</v>
      </c>
      <c r="E808" s="74" t="str">
        <f t="shared" si="12"/>
        <v>A</v>
      </c>
      <c r="G808" s="59"/>
    </row>
    <row r="809" spans="1:7" x14ac:dyDescent="0.2">
      <c r="A809" s="67" t="s">
        <v>1405</v>
      </c>
      <c r="B809" s="49" t="s">
        <v>2097</v>
      </c>
      <c r="C809" s="49" t="s">
        <v>2098</v>
      </c>
      <c r="D809" s="57">
        <v>198</v>
      </c>
      <c r="E809" s="74" t="str">
        <f t="shared" si="12"/>
        <v>A</v>
      </c>
      <c r="G809" s="59"/>
    </row>
    <row r="810" spans="1:7" x14ac:dyDescent="0.2">
      <c r="A810" s="67" t="s">
        <v>1406</v>
      </c>
      <c r="B810" s="49" t="s">
        <v>2099</v>
      </c>
      <c r="C810" s="49" t="s">
        <v>467</v>
      </c>
      <c r="D810" s="57">
        <v>195</v>
      </c>
      <c r="E810" s="74" t="str">
        <f t="shared" si="12"/>
        <v>A</v>
      </c>
      <c r="G810" s="59"/>
    </row>
    <row r="811" spans="1:7" x14ac:dyDescent="0.2">
      <c r="A811" s="67" t="s">
        <v>1407</v>
      </c>
      <c r="B811" s="49" t="s">
        <v>2100</v>
      </c>
      <c r="C811" s="49" t="s">
        <v>17</v>
      </c>
      <c r="D811" s="57">
        <v>165</v>
      </c>
      <c r="E811" s="74" t="str">
        <f t="shared" si="12"/>
        <v>A</v>
      </c>
      <c r="G811" s="59"/>
    </row>
    <row r="812" spans="1:7" x14ac:dyDescent="0.2">
      <c r="A812" s="67" t="s">
        <v>1408</v>
      </c>
      <c r="B812" s="49" t="s">
        <v>2101</v>
      </c>
      <c r="C812" s="49" t="s">
        <v>18</v>
      </c>
      <c r="D812" s="57">
        <v>135</v>
      </c>
      <c r="E812" s="74" t="str">
        <f t="shared" si="12"/>
        <v>A</v>
      </c>
      <c r="G812" s="59"/>
    </row>
    <row r="813" spans="1:7" x14ac:dyDescent="0.2">
      <c r="A813" s="67" t="s">
        <v>1409</v>
      </c>
      <c r="B813" s="49" t="s">
        <v>317</v>
      </c>
      <c r="C813" s="49" t="s">
        <v>317</v>
      </c>
      <c r="D813" s="57">
        <v>765</v>
      </c>
      <c r="E813" s="74" t="str">
        <f t="shared" si="12"/>
        <v>A</v>
      </c>
      <c r="G813" s="59"/>
    </row>
    <row r="814" spans="1:7" x14ac:dyDescent="0.2">
      <c r="A814" s="67" t="s">
        <v>1410</v>
      </c>
      <c r="B814" s="49" t="s">
        <v>529</v>
      </c>
      <c r="C814" s="49" t="s">
        <v>530</v>
      </c>
      <c r="D814" s="60">
        <v>1370</v>
      </c>
      <c r="E814" s="74" t="str">
        <f t="shared" si="12"/>
        <v>B</v>
      </c>
      <c r="G814" s="59"/>
    </row>
    <row r="815" spans="1:7" x14ac:dyDescent="0.2">
      <c r="A815" s="67" t="s">
        <v>1411</v>
      </c>
      <c r="B815" s="49" t="s">
        <v>531</v>
      </c>
      <c r="C815" s="49" t="s">
        <v>532</v>
      </c>
      <c r="D815" s="60">
        <v>2745</v>
      </c>
      <c r="E815" s="74" t="str">
        <f t="shared" si="12"/>
        <v>B</v>
      </c>
      <c r="G815" s="59"/>
    </row>
    <row r="816" spans="1:7" x14ac:dyDescent="0.2">
      <c r="A816" s="67" t="s">
        <v>1412</v>
      </c>
      <c r="B816" s="49" t="s">
        <v>533</v>
      </c>
      <c r="C816" s="49" t="s">
        <v>534</v>
      </c>
      <c r="D816" s="60">
        <v>10995</v>
      </c>
      <c r="E816" s="74" t="str">
        <f t="shared" si="12"/>
        <v>C</v>
      </c>
      <c r="G816" s="59"/>
    </row>
    <row r="817" spans="1:7" x14ac:dyDescent="0.2">
      <c r="A817" s="67" t="s">
        <v>1413</v>
      </c>
      <c r="B817" s="49" t="s">
        <v>369</v>
      </c>
      <c r="C817" s="49" t="s">
        <v>370</v>
      </c>
      <c r="D817" s="60">
        <v>17595</v>
      </c>
      <c r="E817" s="74" t="str">
        <f t="shared" si="12"/>
        <v>C</v>
      </c>
      <c r="G817" s="59"/>
    </row>
    <row r="818" spans="1:7" x14ac:dyDescent="0.2">
      <c r="A818" s="68" t="s">
        <v>1414</v>
      </c>
      <c r="B818" s="39" t="s">
        <v>471</v>
      </c>
      <c r="C818" s="39" t="s">
        <v>368</v>
      </c>
      <c r="D818" s="57">
        <v>1095</v>
      </c>
      <c r="E818" s="74" t="str">
        <f t="shared" si="12"/>
        <v>B</v>
      </c>
      <c r="G818" s="59"/>
    </row>
    <row r="819" spans="1:7" x14ac:dyDescent="0.2">
      <c r="A819" s="70" t="s">
        <v>1415</v>
      </c>
      <c r="B819" s="64" t="s">
        <v>371</v>
      </c>
      <c r="C819" s="66" t="s">
        <v>372</v>
      </c>
      <c r="D819" s="60">
        <v>21995</v>
      </c>
      <c r="E819" s="74" t="str">
        <f t="shared" si="12"/>
        <v>C</v>
      </c>
      <c r="G819" s="59"/>
    </row>
    <row r="820" spans="1:7" x14ac:dyDescent="0.2">
      <c r="A820" s="70" t="s">
        <v>1416</v>
      </c>
      <c r="B820" s="64" t="s">
        <v>373</v>
      </c>
      <c r="C820" s="61" t="s">
        <v>374</v>
      </c>
      <c r="D820" s="60">
        <v>21995</v>
      </c>
      <c r="E820" s="74" t="str">
        <f t="shared" si="12"/>
        <v>C</v>
      </c>
      <c r="G820" s="59"/>
    </row>
    <row r="821" spans="1:7" x14ac:dyDescent="0.2">
      <c r="A821" s="70" t="s">
        <v>1417</v>
      </c>
      <c r="B821" s="64" t="s">
        <v>375</v>
      </c>
      <c r="C821" s="61" t="s">
        <v>376</v>
      </c>
      <c r="D821" s="60">
        <v>21995</v>
      </c>
      <c r="E821" s="74" t="str">
        <f t="shared" si="12"/>
        <v>C</v>
      </c>
      <c r="G821" s="59"/>
    </row>
    <row r="822" spans="1:7" x14ac:dyDescent="0.2">
      <c r="A822" s="70" t="s">
        <v>1418</v>
      </c>
      <c r="B822" s="64" t="s">
        <v>377</v>
      </c>
      <c r="C822" s="61" t="s">
        <v>378</v>
      </c>
      <c r="D822" s="60">
        <v>21995</v>
      </c>
      <c r="E822" s="74" t="str">
        <f t="shared" si="12"/>
        <v>C</v>
      </c>
      <c r="G822" s="59"/>
    </row>
    <row r="823" spans="1:7" x14ac:dyDescent="0.2">
      <c r="A823" s="70" t="s">
        <v>1419</v>
      </c>
      <c r="B823" s="64" t="s">
        <v>379</v>
      </c>
      <c r="C823" s="61" t="s">
        <v>380</v>
      </c>
      <c r="D823" s="60">
        <v>21995</v>
      </c>
      <c r="E823" s="74" t="str">
        <f t="shared" si="12"/>
        <v>C</v>
      </c>
      <c r="G823" s="59"/>
    </row>
    <row r="824" spans="1:7" x14ac:dyDescent="0.2">
      <c r="A824" s="70" t="s">
        <v>1420</v>
      </c>
      <c r="B824" s="64" t="s">
        <v>381</v>
      </c>
      <c r="C824" s="61" t="s">
        <v>382</v>
      </c>
      <c r="D824" s="60">
        <v>21995</v>
      </c>
      <c r="E824" s="74" t="str">
        <f t="shared" si="12"/>
        <v>C</v>
      </c>
      <c r="G824" s="59"/>
    </row>
    <row r="825" spans="1:7" x14ac:dyDescent="0.2">
      <c r="A825" s="70" t="s">
        <v>1421</v>
      </c>
      <c r="B825" s="64" t="s">
        <v>383</v>
      </c>
      <c r="C825" s="61" t="s">
        <v>384</v>
      </c>
      <c r="D825" s="60">
        <v>21995</v>
      </c>
      <c r="E825" s="74" t="str">
        <f t="shared" si="12"/>
        <v>C</v>
      </c>
      <c r="G825" s="59"/>
    </row>
    <row r="826" spans="1:7" x14ac:dyDescent="0.2">
      <c r="A826" s="70" t="s">
        <v>1422</v>
      </c>
      <c r="B826" s="64" t="s">
        <v>385</v>
      </c>
      <c r="C826" s="61" t="s">
        <v>386</v>
      </c>
      <c r="D826" s="60">
        <v>21995</v>
      </c>
      <c r="E826" s="74" t="str">
        <f t="shared" si="12"/>
        <v>C</v>
      </c>
      <c r="G826" s="59"/>
    </row>
    <row r="827" spans="1:7" x14ac:dyDescent="0.2">
      <c r="A827" s="70" t="s">
        <v>1423</v>
      </c>
      <c r="B827" s="64" t="s">
        <v>387</v>
      </c>
      <c r="C827" s="61" t="s">
        <v>388</v>
      </c>
      <c r="D827" s="60">
        <v>21995</v>
      </c>
      <c r="E827" s="74" t="str">
        <f t="shared" si="12"/>
        <v>C</v>
      </c>
      <c r="G827" s="59"/>
    </row>
    <row r="828" spans="1:7" x14ac:dyDescent="0.2">
      <c r="A828" s="70" t="s">
        <v>1424</v>
      </c>
      <c r="B828" s="64" t="s">
        <v>389</v>
      </c>
      <c r="C828" s="61" t="s">
        <v>390</v>
      </c>
      <c r="D828" s="60">
        <v>21995</v>
      </c>
      <c r="E828" s="74" t="str">
        <f t="shared" si="12"/>
        <v>C</v>
      </c>
      <c r="G828" s="59"/>
    </row>
    <row r="829" spans="1:7" x14ac:dyDescent="0.2">
      <c r="A829" s="70" t="s">
        <v>1425</v>
      </c>
      <c r="B829" s="64" t="s">
        <v>391</v>
      </c>
      <c r="C829" s="61" t="s">
        <v>392</v>
      </c>
      <c r="D829" s="60">
        <v>21995</v>
      </c>
      <c r="E829" s="74" t="str">
        <f t="shared" si="12"/>
        <v>C</v>
      </c>
      <c r="G829" s="59"/>
    </row>
    <row r="830" spans="1:7" x14ac:dyDescent="0.2">
      <c r="A830" s="70" t="s">
        <v>1426</v>
      </c>
      <c r="B830" s="64" t="s">
        <v>393</v>
      </c>
      <c r="C830" s="61" t="s">
        <v>394</v>
      </c>
      <c r="D830" s="60">
        <v>21995</v>
      </c>
      <c r="E830" s="74" t="str">
        <f t="shared" si="12"/>
        <v>C</v>
      </c>
      <c r="G830" s="59"/>
    </row>
    <row r="831" spans="1:7" x14ac:dyDescent="0.2">
      <c r="A831" s="70" t="s">
        <v>1427</v>
      </c>
      <c r="B831" s="64" t="s">
        <v>395</v>
      </c>
      <c r="C831" s="61" t="s">
        <v>396</v>
      </c>
      <c r="D831" s="60">
        <v>21995</v>
      </c>
      <c r="E831" s="74" t="str">
        <f t="shared" si="12"/>
        <v>C</v>
      </c>
      <c r="G831" s="59"/>
    </row>
    <row r="832" spans="1:7" x14ac:dyDescent="0.2">
      <c r="A832" s="70" t="s">
        <v>1428</v>
      </c>
      <c r="B832" s="64" t="s">
        <v>397</v>
      </c>
      <c r="C832" s="61" t="s">
        <v>398</v>
      </c>
      <c r="D832" s="60">
        <v>21995</v>
      </c>
      <c r="E832" s="74" t="str">
        <f t="shared" si="12"/>
        <v>C</v>
      </c>
      <c r="G832" s="59"/>
    </row>
    <row r="833" spans="1:7" x14ac:dyDescent="0.2">
      <c r="A833" s="70" t="s">
        <v>1429</v>
      </c>
      <c r="B833" s="64" t="s">
        <v>399</v>
      </c>
      <c r="C833" s="61" t="s">
        <v>400</v>
      </c>
      <c r="D833" s="60">
        <v>21995</v>
      </c>
      <c r="E833" s="74" t="str">
        <f t="shared" si="12"/>
        <v>C</v>
      </c>
      <c r="G833" s="59"/>
    </row>
    <row r="834" spans="1:7" x14ac:dyDescent="0.2">
      <c r="A834" s="70" t="s">
        <v>1430</v>
      </c>
      <c r="B834" s="64" t="s">
        <v>401</v>
      </c>
      <c r="C834" s="61" t="s">
        <v>402</v>
      </c>
      <c r="D834" s="60">
        <v>21995</v>
      </c>
      <c r="E834" s="74" t="str">
        <f t="shared" si="12"/>
        <v>C</v>
      </c>
      <c r="G834" s="59"/>
    </row>
    <row r="835" spans="1:7" x14ac:dyDescent="0.2">
      <c r="A835" s="70" t="s">
        <v>1431</v>
      </c>
      <c r="B835" s="64" t="s">
        <v>403</v>
      </c>
      <c r="C835" s="61" t="s">
        <v>404</v>
      </c>
      <c r="D835" s="60">
        <v>21995</v>
      </c>
      <c r="E835" s="74" t="str">
        <f t="shared" si="12"/>
        <v>C</v>
      </c>
      <c r="G835" s="59"/>
    </row>
    <row r="836" spans="1:7" x14ac:dyDescent="0.2">
      <c r="A836" s="70" t="s">
        <v>1432</v>
      </c>
      <c r="B836" s="64" t="s">
        <v>405</v>
      </c>
      <c r="C836" s="61" t="s">
        <v>406</v>
      </c>
      <c r="D836" s="60">
        <v>21995</v>
      </c>
      <c r="E836" s="74" t="str">
        <f t="shared" si="12"/>
        <v>C</v>
      </c>
      <c r="G836" s="59"/>
    </row>
    <row r="837" spans="1:7" x14ac:dyDescent="0.2">
      <c r="A837" s="70" t="s">
        <v>1433</v>
      </c>
      <c r="B837" s="64" t="s">
        <v>407</v>
      </c>
      <c r="C837" s="61" t="s">
        <v>408</v>
      </c>
      <c r="D837" s="60">
        <v>21995</v>
      </c>
      <c r="E837" s="74" t="str">
        <f t="shared" ref="E837:E900" si="13">VLOOKUP(D837,$G$4:$H$7,2)</f>
        <v>C</v>
      </c>
      <c r="G837" s="59"/>
    </row>
    <row r="838" spans="1:7" x14ac:dyDescent="0.2">
      <c r="A838" s="70" t="s">
        <v>1434</v>
      </c>
      <c r="B838" s="64" t="s">
        <v>409</v>
      </c>
      <c r="C838" s="61" t="s">
        <v>410</v>
      </c>
      <c r="D838" s="60">
        <v>21995</v>
      </c>
      <c r="E838" s="74" t="str">
        <f t="shared" si="13"/>
        <v>C</v>
      </c>
      <c r="G838" s="59"/>
    </row>
    <row r="839" spans="1:7" x14ac:dyDescent="0.2">
      <c r="A839" s="70" t="s">
        <v>1435</v>
      </c>
      <c r="B839" s="64" t="s">
        <v>411</v>
      </c>
      <c r="C839" s="61" t="s">
        <v>412</v>
      </c>
      <c r="D839" s="60">
        <v>21995</v>
      </c>
      <c r="E839" s="74" t="str">
        <f t="shared" si="13"/>
        <v>C</v>
      </c>
      <c r="G839" s="59"/>
    </row>
    <row r="840" spans="1:7" x14ac:dyDescent="0.2">
      <c r="A840" s="70" t="s">
        <v>1436</v>
      </c>
      <c r="B840" s="64" t="s">
        <v>413</v>
      </c>
      <c r="C840" s="61" t="s">
        <v>414</v>
      </c>
      <c r="D840" s="60">
        <v>21995</v>
      </c>
      <c r="E840" s="74" t="str">
        <f t="shared" si="13"/>
        <v>C</v>
      </c>
      <c r="G840" s="59"/>
    </row>
    <row r="841" spans="1:7" x14ac:dyDescent="0.2">
      <c r="A841" s="70" t="s">
        <v>1437</v>
      </c>
      <c r="B841" s="64" t="s">
        <v>415</v>
      </c>
      <c r="C841" s="61" t="s">
        <v>416</v>
      </c>
      <c r="D841" s="60">
        <v>21995</v>
      </c>
      <c r="E841" s="74" t="str">
        <f t="shared" si="13"/>
        <v>C</v>
      </c>
      <c r="G841" s="59"/>
    </row>
    <row r="842" spans="1:7" x14ac:dyDescent="0.2">
      <c r="A842" s="70" t="s">
        <v>1438</v>
      </c>
      <c r="B842" s="64" t="s">
        <v>417</v>
      </c>
      <c r="C842" s="61" t="s">
        <v>418</v>
      </c>
      <c r="D842" s="60">
        <v>21995</v>
      </c>
      <c r="E842" s="74" t="str">
        <f t="shared" si="13"/>
        <v>C</v>
      </c>
      <c r="G842" s="59"/>
    </row>
    <row r="843" spans="1:7" x14ac:dyDescent="0.2">
      <c r="A843" s="70" t="s">
        <v>1439</v>
      </c>
      <c r="B843" s="64" t="s">
        <v>419</v>
      </c>
      <c r="C843" s="61" t="s">
        <v>420</v>
      </c>
      <c r="D843" s="60">
        <v>21995</v>
      </c>
      <c r="E843" s="74" t="str">
        <f t="shared" si="13"/>
        <v>C</v>
      </c>
      <c r="G843" s="59"/>
    </row>
    <row r="844" spans="1:7" x14ac:dyDescent="0.2">
      <c r="A844" s="70" t="s">
        <v>1440</v>
      </c>
      <c r="B844" s="64" t="s">
        <v>421</v>
      </c>
      <c r="C844" s="61" t="s">
        <v>422</v>
      </c>
      <c r="D844" s="60">
        <v>21995</v>
      </c>
      <c r="E844" s="74" t="str">
        <f t="shared" si="13"/>
        <v>C</v>
      </c>
      <c r="G844" s="59"/>
    </row>
    <row r="845" spans="1:7" x14ac:dyDescent="0.2">
      <c r="A845" s="70" t="s">
        <v>1441</v>
      </c>
      <c r="B845" s="64" t="s">
        <v>423</v>
      </c>
      <c r="C845" s="61" t="s">
        <v>424</v>
      </c>
      <c r="D845" s="60">
        <v>21995</v>
      </c>
      <c r="E845" s="74" t="str">
        <f t="shared" si="13"/>
        <v>C</v>
      </c>
      <c r="G845" s="59"/>
    </row>
    <row r="846" spans="1:7" x14ac:dyDescent="0.2">
      <c r="A846" s="70" t="s">
        <v>1442</v>
      </c>
      <c r="B846" s="64" t="s">
        <v>425</v>
      </c>
      <c r="C846" s="61" t="s">
        <v>426</v>
      </c>
      <c r="D846" s="60">
        <v>21995</v>
      </c>
      <c r="E846" s="74" t="str">
        <f t="shared" si="13"/>
        <v>C</v>
      </c>
      <c r="G846" s="59"/>
    </row>
    <row r="847" spans="1:7" x14ac:dyDescent="0.2">
      <c r="A847" s="70" t="s">
        <v>1443</v>
      </c>
      <c r="B847" s="64" t="s">
        <v>427</v>
      </c>
      <c r="C847" s="61" t="s">
        <v>428</v>
      </c>
      <c r="D847" s="60">
        <v>21995</v>
      </c>
      <c r="E847" s="74" t="str">
        <f t="shared" si="13"/>
        <v>C</v>
      </c>
      <c r="G847" s="59"/>
    </row>
    <row r="848" spans="1:7" x14ac:dyDescent="0.2">
      <c r="A848" s="70" t="s">
        <v>1444</v>
      </c>
      <c r="B848" s="64" t="s">
        <v>429</v>
      </c>
      <c r="C848" s="61" t="s">
        <v>430</v>
      </c>
      <c r="D848" s="60">
        <v>21995</v>
      </c>
      <c r="E848" s="74" t="str">
        <f t="shared" si="13"/>
        <v>C</v>
      </c>
      <c r="G848" s="59"/>
    </row>
    <row r="849" spans="1:7" x14ac:dyDescent="0.2">
      <c r="A849" s="70" t="s">
        <v>1445</v>
      </c>
      <c r="B849" s="64" t="s">
        <v>431</v>
      </c>
      <c r="C849" s="61" t="s">
        <v>432</v>
      </c>
      <c r="D849" s="60">
        <v>21995</v>
      </c>
      <c r="E849" s="74" t="str">
        <f t="shared" si="13"/>
        <v>C</v>
      </c>
      <c r="G849" s="59"/>
    </row>
    <row r="850" spans="1:7" x14ac:dyDescent="0.2">
      <c r="A850" s="70" t="s">
        <v>1446</v>
      </c>
      <c r="B850" s="64" t="s">
        <v>433</v>
      </c>
      <c r="C850" s="61" t="s">
        <v>434</v>
      </c>
      <c r="D850" s="60">
        <v>21995</v>
      </c>
      <c r="E850" s="74" t="str">
        <f t="shared" si="13"/>
        <v>C</v>
      </c>
      <c r="G850" s="59"/>
    </row>
    <row r="851" spans="1:7" x14ac:dyDescent="0.2">
      <c r="A851" s="70" t="s">
        <v>1447</v>
      </c>
      <c r="B851" s="64" t="s">
        <v>435</v>
      </c>
      <c r="C851" s="61" t="s">
        <v>436</v>
      </c>
      <c r="D851" s="60">
        <v>21995</v>
      </c>
      <c r="E851" s="74" t="str">
        <f t="shared" si="13"/>
        <v>C</v>
      </c>
      <c r="G851" s="59"/>
    </row>
    <row r="852" spans="1:7" x14ac:dyDescent="0.2">
      <c r="A852" s="70" t="s">
        <v>1448</v>
      </c>
      <c r="B852" s="64" t="s">
        <v>437</v>
      </c>
      <c r="C852" s="61" t="s">
        <v>438</v>
      </c>
      <c r="D852" s="60">
        <v>21995</v>
      </c>
      <c r="E852" s="74" t="str">
        <f t="shared" si="13"/>
        <v>C</v>
      </c>
      <c r="G852" s="59"/>
    </row>
    <row r="853" spans="1:7" x14ac:dyDescent="0.2">
      <c r="A853" s="70" t="s">
        <v>1449</v>
      </c>
      <c r="B853" s="64" t="s">
        <v>439</v>
      </c>
      <c r="C853" s="61" t="s">
        <v>440</v>
      </c>
      <c r="D853" s="60">
        <v>21995</v>
      </c>
      <c r="E853" s="74" t="str">
        <f t="shared" si="13"/>
        <v>C</v>
      </c>
      <c r="G853" s="59"/>
    </row>
    <row r="854" spans="1:7" x14ac:dyDescent="0.2">
      <c r="A854" s="70" t="s">
        <v>1450</v>
      </c>
      <c r="B854" s="64" t="s">
        <v>441</v>
      </c>
      <c r="C854" s="61" t="s">
        <v>442</v>
      </c>
      <c r="D854" s="60">
        <v>21995</v>
      </c>
      <c r="E854" s="74" t="str">
        <f t="shared" si="13"/>
        <v>C</v>
      </c>
      <c r="G854" s="59"/>
    </row>
    <row r="855" spans="1:7" x14ac:dyDescent="0.2">
      <c r="A855" s="70" t="s">
        <v>1451</v>
      </c>
      <c r="B855" s="64" t="s">
        <v>443</v>
      </c>
      <c r="C855" s="61" t="s">
        <v>444</v>
      </c>
      <c r="D855" s="60">
        <v>21995</v>
      </c>
      <c r="E855" s="74" t="str">
        <f t="shared" si="13"/>
        <v>C</v>
      </c>
      <c r="G855" s="59"/>
    </row>
    <row r="856" spans="1:7" x14ac:dyDescent="0.2">
      <c r="A856" s="70" t="s">
        <v>1452</v>
      </c>
      <c r="B856" s="64" t="s">
        <v>445</v>
      </c>
      <c r="C856" s="61" t="s">
        <v>446</v>
      </c>
      <c r="D856" s="60">
        <v>21995</v>
      </c>
      <c r="E856" s="74" t="str">
        <f t="shared" si="13"/>
        <v>C</v>
      </c>
      <c r="G856" s="59"/>
    </row>
    <row r="857" spans="1:7" x14ac:dyDescent="0.2">
      <c r="A857" s="70" t="s">
        <v>1453</v>
      </c>
      <c r="B857" s="64" t="s">
        <v>447</v>
      </c>
      <c r="C857" s="61" t="s">
        <v>448</v>
      </c>
      <c r="D857" s="60">
        <v>21995</v>
      </c>
      <c r="E857" s="74" t="str">
        <f t="shared" si="13"/>
        <v>C</v>
      </c>
      <c r="G857" s="59"/>
    </row>
    <row r="858" spans="1:7" x14ac:dyDescent="0.2">
      <c r="A858" s="70" t="s">
        <v>1454</v>
      </c>
      <c r="B858" s="64" t="s">
        <v>449</v>
      </c>
      <c r="C858" s="61" t="s">
        <v>450</v>
      </c>
      <c r="D858" s="60">
        <v>21995</v>
      </c>
      <c r="E858" s="74" t="str">
        <f t="shared" si="13"/>
        <v>C</v>
      </c>
      <c r="G858" s="59"/>
    </row>
    <row r="859" spans="1:7" x14ac:dyDescent="0.2">
      <c r="A859" s="67" t="s">
        <v>1455</v>
      </c>
      <c r="B859" s="49" t="s">
        <v>359</v>
      </c>
      <c r="C859" s="49" t="s">
        <v>360</v>
      </c>
      <c r="D859" s="60">
        <v>325</v>
      </c>
      <c r="E859" s="74" t="str">
        <f t="shared" si="13"/>
        <v>A</v>
      </c>
      <c r="G859" s="59"/>
    </row>
    <row r="860" spans="1:7" x14ac:dyDescent="0.2">
      <c r="A860" s="67" t="s">
        <v>1456</v>
      </c>
      <c r="B860" s="49" t="s">
        <v>590</v>
      </c>
      <c r="C860" s="49" t="s">
        <v>591</v>
      </c>
      <c r="D860" s="60">
        <v>490</v>
      </c>
      <c r="E860" s="74" t="str">
        <f t="shared" si="13"/>
        <v>A</v>
      </c>
      <c r="G860" s="59"/>
    </row>
    <row r="861" spans="1:7" x14ac:dyDescent="0.2">
      <c r="A861" s="67" t="s">
        <v>1457</v>
      </c>
      <c r="B861" s="49" t="s">
        <v>592</v>
      </c>
      <c r="C861" s="49" t="s">
        <v>593</v>
      </c>
      <c r="D861" s="60">
        <v>490</v>
      </c>
      <c r="E861" s="74" t="str">
        <f t="shared" si="13"/>
        <v>A</v>
      </c>
      <c r="G861" s="59"/>
    </row>
    <row r="862" spans="1:7" x14ac:dyDescent="0.2">
      <c r="A862" s="67" t="s">
        <v>1458</v>
      </c>
      <c r="B862" s="49" t="s">
        <v>173</v>
      </c>
      <c r="C862" s="49" t="s">
        <v>595</v>
      </c>
      <c r="D862" s="60">
        <v>1095</v>
      </c>
      <c r="E862" s="74" t="str">
        <f t="shared" si="13"/>
        <v>B</v>
      </c>
      <c r="G862" s="59"/>
    </row>
    <row r="863" spans="1:7" x14ac:dyDescent="0.2">
      <c r="A863" s="67" t="s">
        <v>1459</v>
      </c>
      <c r="B863" s="49" t="s">
        <v>518</v>
      </c>
      <c r="C863" s="49" t="s">
        <v>595</v>
      </c>
      <c r="D863" s="60">
        <v>4395</v>
      </c>
      <c r="E863" s="74" t="str">
        <f t="shared" si="13"/>
        <v>B</v>
      </c>
      <c r="G863" s="59"/>
    </row>
    <row r="864" spans="1:7" x14ac:dyDescent="0.2">
      <c r="A864" s="67" t="s">
        <v>1460</v>
      </c>
      <c r="B864" s="49" t="s">
        <v>588</v>
      </c>
      <c r="C864" s="49" t="s">
        <v>589</v>
      </c>
      <c r="D864" s="60">
        <v>5495</v>
      </c>
      <c r="E864" s="74" t="str">
        <f t="shared" si="13"/>
        <v>B</v>
      </c>
      <c r="G864" s="59"/>
    </row>
    <row r="865" spans="1:7" x14ac:dyDescent="0.2">
      <c r="A865" s="67" t="s">
        <v>1461</v>
      </c>
      <c r="B865" s="49" t="s">
        <v>1851</v>
      </c>
      <c r="C865" s="49" t="s">
        <v>550</v>
      </c>
      <c r="D865" s="60">
        <v>5495</v>
      </c>
      <c r="E865" s="74" t="str">
        <f t="shared" si="13"/>
        <v>B</v>
      </c>
      <c r="G865" s="59"/>
    </row>
    <row r="866" spans="1:7" x14ac:dyDescent="0.2">
      <c r="A866" s="67" t="s">
        <v>1462</v>
      </c>
      <c r="B866" s="49" t="s">
        <v>1852</v>
      </c>
      <c r="C866" s="49" t="s">
        <v>551</v>
      </c>
      <c r="D866" s="60">
        <v>5495</v>
      </c>
      <c r="E866" s="74" t="str">
        <f t="shared" si="13"/>
        <v>B</v>
      </c>
      <c r="G866" s="59"/>
    </row>
    <row r="867" spans="1:7" x14ac:dyDescent="0.2">
      <c r="A867" s="67" t="s">
        <v>1463</v>
      </c>
      <c r="B867" s="49" t="s">
        <v>1853</v>
      </c>
      <c r="C867" s="49" t="s">
        <v>552</v>
      </c>
      <c r="D867" s="60">
        <v>5495</v>
      </c>
      <c r="E867" s="74" t="str">
        <f t="shared" si="13"/>
        <v>B</v>
      </c>
      <c r="G867" s="59"/>
    </row>
    <row r="868" spans="1:7" x14ac:dyDescent="0.2">
      <c r="A868" s="67" t="s">
        <v>1464</v>
      </c>
      <c r="B868" s="49" t="s">
        <v>1854</v>
      </c>
      <c r="C868" s="49" t="s">
        <v>553</v>
      </c>
      <c r="D868" s="60">
        <v>5495</v>
      </c>
      <c r="E868" s="74" t="str">
        <f t="shared" si="13"/>
        <v>B</v>
      </c>
      <c r="G868" s="59"/>
    </row>
    <row r="869" spans="1:7" x14ac:dyDescent="0.2">
      <c r="A869" s="67" t="s">
        <v>1465</v>
      </c>
      <c r="B869" s="49" t="s">
        <v>1855</v>
      </c>
      <c r="C869" s="49" t="s">
        <v>554</v>
      </c>
      <c r="D869" s="60">
        <v>5495</v>
      </c>
      <c r="E869" s="74" t="str">
        <f t="shared" si="13"/>
        <v>B</v>
      </c>
      <c r="G869" s="59"/>
    </row>
    <row r="870" spans="1:7" x14ac:dyDescent="0.2">
      <c r="A870" s="67" t="s">
        <v>1466</v>
      </c>
      <c r="B870" s="49" t="s">
        <v>1856</v>
      </c>
      <c r="C870" s="49" t="s">
        <v>555</v>
      </c>
      <c r="D870" s="60">
        <v>5495</v>
      </c>
      <c r="E870" s="74" t="str">
        <f t="shared" si="13"/>
        <v>B</v>
      </c>
      <c r="G870" s="59"/>
    </row>
    <row r="871" spans="1:7" x14ac:dyDescent="0.2">
      <c r="A871" s="67" t="s">
        <v>1467</v>
      </c>
      <c r="B871" s="49" t="s">
        <v>1857</v>
      </c>
      <c r="C871" s="49" t="s">
        <v>556</v>
      </c>
      <c r="D871" s="60">
        <v>5495</v>
      </c>
      <c r="E871" s="74" t="str">
        <f t="shared" si="13"/>
        <v>B</v>
      </c>
      <c r="G871" s="59"/>
    </row>
    <row r="872" spans="1:7" x14ac:dyDescent="0.2">
      <c r="A872" s="67" t="s">
        <v>1468</v>
      </c>
      <c r="B872" s="49" t="s">
        <v>1858</v>
      </c>
      <c r="C872" s="49" t="s">
        <v>557</v>
      </c>
      <c r="D872" s="60">
        <v>5495</v>
      </c>
      <c r="E872" s="74" t="str">
        <f t="shared" si="13"/>
        <v>B</v>
      </c>
      <c r="G872" s="59"/>
    </row>
    <row r="873" spans="1:7" x14ac:dyDescent="0.2">
      <c r="A873" s="67" t="s">
        <v>1469</v>
      </c>
      <c r="B873" s="49" t="s">
        <v>363</v>
      </c>
      <c r="C873" s="49" t="s">
        <v>364</v>
      </c>
      <c r="D873" s="60">
        <v>1315</v>
      </c>
      <c r="E873" s="74" t="str">
        <f t="shared" si="13"/>
        <v>B</v>
      </c>
      <c r="G873" s="59"/>
    </row>
    <row r="874" spans="1:7" x14ac:dyDescent="0.2">
      <c r="A874" s="67" t="s">
        <v>1470</v>
      </c>
      <c r="B874" s="49" t="s">
        <v>365</v>
      </c>
      <c r="C874" s="49" t="s">
        <v>366</v>
      </c>
      <c r="D874" s="60">
        <v>1315</v>
      </c>
      <c r="E874" s="74" t="str">
        <f t="shared" si="13"/>
        <v>B</v>
      </c>
      <c r="G874" s="59"/>
    </row>
    <row r="875" spans="1:7" x14ac:dyDescent="0.2">
      <c r="A875" s="67" t="s">
        <v>1471</v>
      </c>
      <c r="B875" s="49" t="s">
        <v>361</v>
      </c>
      <c r="C875" s="49" t="s">
        <v>362</v>
      </c>
      <c r="D875" s="60">
        <v>655</v>
      </c>
      <c r="E875" s="74" t="str">
        <f t="shared" si="13"/>
        <v>A</v>
      </c>
      <c r="G875" s="59"/>
    </row>
    <row r="876" spans="1:7" x14ac:dyDescent="0.2">
      <c r="A876" s="67" t="s">
        <v>1472</v>
      </c>
      <c r="B876" s="49" t="s">
        <v>355</v>
      </c>
      <c r="C876" s="49" t="s">
        <v>356</v>
      </c>
      <c r="D876" s="60">
        <v>435</v>
      </c>
      <c r="E876" s="74" t="str">
        <f t="shared" si="13"/>
        <v>A</v>
      </c>
      <c r="G876" s="59"/>
    </row>
    <row r="877" spans="1:7" x14ac:dyDescent="0.2">
      <c r="A877" s="67" t="s">
        <v>1473</v>
      </c>
      <c r="B877" s="49" t="s">
        <v>357</v>
      </c>
      <c r="C877" s="49" t="s">
        <v>358</v>
      </c>
      <c r="D877" s="60">
        <v>435</v>
      </c>
      <c r="E877" s="74" t="str">
        <f t="shared" si="13"/>
        <v>A</v>
      </c>
      <c r="G877" s="59"/>
    </row>
    <row r="878" spans="1:7" x14ac:dyDescent="0.2">
      <c r="A878" s="67" t="s">
        <v>1474</v>
      </c>
      <c r="B878" s="49" t="s">
        <v>351</v>
      </c>
      <c r="C878" s="49" t="s">
        <v>352</v>
      </c>
      <c r="D878" s="60">
        <v>185</v>
      </c>
      <c r="E878" s="74" t="str">
        <f t="shared" si="13"/>
        <v>A</v>
      </c>
      <c r="G878" s="59"/>
    </row>
    <row r="879" spans="1:7" x14ac:dyDescent="0.2">
      <c r="A879" s="68" t="s">
        <v>1475</v>
      </c>
      <c r="B879" s="39" t="s">
        <v>509</v>
      </c>
      <c r="C879" s="39" t="s">
        <v>509</v>
      </c>
      <c r="D879" s="38">
        <v>4395</v>
      </c>
      <c r="E879" s="74" t="str">
        <f t="shared" si="13"/>
        <v>B</v>
      </c>
      <c r="G879" s="59"/>
    </row>
    <row r="880" spans="1:7" x14ac:dyDescent="0.2">
      <c r="A880" s="68" t="s">
        <v>1476</v>
      </c>
      <c r="B880" s="39" t="s">
        <v>510</v>
      </c>
      <c r="C880" s="39" t="s">
        <v>510</v>
      </c>
      <c r="D880" s="38">
        <v>10995</v>
      </c>
      <c r="E880" s="74" t="str">
        <f t="shared" si="13"/>
        <v>C</v>
      </c>
      <c r="G880" s="59"/>
    </row>
    <row r="881" spans="1:7" x14ac:dyDescent="0.2">
      <c r="A881" s="68" t="s">
        <v>1477</v>
      </c>
      <c r="B881" s="39" t="s">
        <v>511</v>
      </c>
      <c r="C881" s="39" t="s">
        <v>511</v>
      </c>
      <c r="D881" s="38">
        <v>2745</v>
      </c>
      <c r="E881" s="74" t="str">
        <f t="shared" si="13"/>
        <v>B</v>
      </c>
      <c r="G881" s="59"/>
    </row>
    <row r="882" spans="1:7" x14ac:dyDescent="0.2">
      <c r="A882" s="68" t="s">
        <v>1478</v>
      </c>
      <c r="B882" s="39" t="s">
        <v>512</v>
      </c>
      <c r="C882" s="39" t="s">
        <v>512</v>
      </c>
      <c r="D882" s="38">
        <v>3295</v>
      </c>
      <c r="E882" s="74" t="str">
        <f t="shared" si="13"/>
        <v>B</v>
      </c>
      <c r="G882" s="59"/>
    </row>
    <row r="883" spans="1:7" x14ac:dyDescent="0.2">
      <c r="A883" s="68" t="s">
        <v>1479</v>
      </c>
      <c r="B883" s="39" t="s">
        <v>513</v>
      </c>
      <c r="C883" s="39" t="s">
        <v>513</v>
      </c>
      <c r="D883" s="38">
        <v>4295</v>
      </c>
      <c r="E883" s="74" t="str">
        <f t="shared" si="13"/>
        <v>B</v>
      </c>
      <c r="G883" s="59"/>
    </row>
    <row r="884" spans="1:7" x14ac:dyDescent="0.2">
      <c r="A884" s="68" t="s">
        <v>1480</v>
      </c>
      <c r="B884" s="39" t="s">
        <v>514</v>
      </c>
      <c r="C884" s="39" t="s">
        <v>514</v>
      </c>
      <c r="D884" s="38">
        <v>6045</v>
      </c>
      <c r="E884" s="74" t="str">
        <f t="shared" si="13"/>
        <v>B</v>
      </c>
      <c r="G884" s="59"/>
    </row>
    <row r="885" spans="1:7" x14ac:dyDescent="0.2">
      <c r="A885" s="68" t="s">
        <v>1481</v>
      </c>
      <c r="B885" s="39" t="s">
        <v>515</v>
      </c>
      <c r="C885" s="39" t="s">
        <v>515</v>
      </c>
      <c r="D885" s="38">
        <v>1995</v>
      </c>
      <c r="E885" s="74" t="str">
        <f t="shared" si="13"/>
        <v>B</v>
      </c>
      <c r="G885" s="59"/>
    </row>
    <row r="886" spans="1:7" x14ac:dyDescent="0.2">
      <c r="A886" s="68" t="s">
        <v>1482</v>
      </c>
      <c r="B886" s="39" t="s">
        <v>516</v>
      </c>
      <c r="C886" s="39" t="s">
        <v>516</v>
      </c>
      <c r="D886" s="38">
        <v>2395</v>
      </c>
      <c r="E886" s="74" t="str">
        <f t="shared" si="13"/>
        <v>B</v>
      </c>
      <c r="G886" s="59"/>
    </row>
    <row r="887" spans="1:7" x14ac:dyDescent="0.2">
      <c r="A887" s="68" t="s">
        <v>1483</v>
      </c>
      <c r="B887" s="39" t="s">
        <v>517</v>
      </c>
      <c r="C887" s="39" t="s">
        <v>517</v>
      </c>
      <c r="D887" s="38">
        <v>2845</v>
      </c>
      <c r="E887" s="74" t="str">
        <f t="shared" si="13"/>
        <v>B</v>
      </c>
      <c r="G887" s="59"/>
    </row>
    <row r="888" spans="1:7" x14ac:dyDescent="0.2">
      <c r="A888" s="68" t="s">
        <v>1484</v>
      </c>
      <c r="B888" s="39" t="s">
        <v>500</v>
      </c>
      <c r="C888" s="39" t="s">
        <v>353</v>
      </c>
      <c r="D888" s="38">
        <v>325</v>
      </c>
      <c r="E888" s="74" t="str">
        <f t="shared" si="13"/>
        <v>A</v>
      </c>
      <c r="G888" s="59"/>
    </row>
    <row r="889" spans="1:7" x14ac:dyDescent="0.2">
      <c r="A889" s="67" t="s">
        <v>1485</v>
      </c>
      <c r="B889" s="49" t="s">
        <v>2102</v>
      </c>
      <c r="C889" s="49" t="s">
        <v>19</v>
      </c>
      <c r="D889" s="57">
        <v>39045</v>
      </c>
      <c r="E889" s="74" t="str">
        <f t="shared" si="13"/>
        <v>D</v>
      </c>
      <c r="G889" s="59"/>
    </row>
    <row r="890" spans="1:7" x14ac:dyDescent="0.2">
      <c r="A890" s="67" t="s">
        <v>1486</v>
      </c>
      <c r="B890" s="49" t="s">
        <v>2103</v>
      </c>
      <c r="C890" s="49" t="s">
        <v>20</v>
      </c>
      <c r="D890" s="57">
        <v>29145</v>
      </c>
      <c r="E890" s="74" t="str">
        <f t="shared" si="13"/>
        <v>D</v>
      </c>
      <c r="G890" s="59"/>
    </row>
    <row r="891" spans="1:7" x14ac:dyDescent="0.2">
      <c r="A891" s="67" t="s">
        <v>1487</v>
      </c>
      <c r="B891" s="49" t="s">
        <v>2104</v>
      </c>
      <c r="C891" s="49" t="s">
        <v>21</v>
      </c>
      <c r="D891" s="57">
        <v>19245</v>
      </c>
      <c r="E891" s="74" t="str">
        <f t="shared" si="13"/>
        <v>C</v>
      </c>
      <c r="G891" s="59"/>
    </row>
    <row r="892" spans="1:7" x14ac:dyDescent="0.2">
      <c r="A892" s="67" t="s">
        <v>1488</v>
      </c>
      <c r="B892" s="49" t="s">
        <v>2105</v>
      </c>
      <c r="C892" s="49" t="s">
        <v>22</v>
      </c>
      <c r="D892" s="57">
        <v>41245</v>
      </c>
      <c r="E892" s="74" t="str">
        <f t="shared" si="13"/>
        <v>D</v>
      </c>
      <c r="G892" s="59"/>
    </row>
    <row r="893" spans="1:7" x14ac:dyDescent="0.2">
      <c r="A893" s="67" t="s">
        <v>1489</v>
      </c>
      <c r="B893" s="49" t="s">
        <v>2106</v>
      </c>
      <c r="C893" s="49" t="s">
        <v>23</v>
      </c>
      <c r="D893" s="57">
        <v>30795</v>
      </c>
      <c r="E893" s="74" t="str">
        <f t="shared" si="13"/>
        <v>D</v>
      </c>
      <c r="G893" s="59"/>
    </row>
    <row r="894" spans="1:7" x14ac:dyDescent="0.2">
      <c r="A894" s="67" t="s">
        <v>1490</v>
      </c>
      <c r="B894" s="49" t="s">
        <v>2107</v>
      </c>
      <c r="C894" s="49" t="s">
        <v>24</v>
      </c>
      <c r="D894" s="57">
        <v>20345</v>
      </c>
      <c r="E894" s="74" t="str">
        <f t="shared" si="13"/>
        <v>C</v>
      </c>
      <c r="G894" s="59"/>
    </row>
    <row r="895" spans="1:7" x14ac:dyDescent="0.2">
      <c r="A895" s="67" t="s">
        <v>1491</v>
      </c>
      <c r="B895" s="49" t="s">
        <v>2108</v>
      </c>
      <c r="C895" s="49" t="s">
        <v>25</v>
      </c>
      <c r="D895" s="57">
        <v>8245</v>
      </c>
      <c r="E895" s="74" t="str">
        <f t="shared" si="13"/>
        <v>B</v>
      </c>
      <c r="G895" s="59"/>
    </row>
    <row r="896" spans="1:7" x14ac:dyDescent="0.2">
      <c r="A896" s="67" t="s">
        <v>1492</v>
      </c>
      <c r="B896" s="49" t="s">
        <v>2109</v>
      </c>
      <c r="C896" s="49" t="s">
        <v>26</v>
      </c>
      <c r="D896" s="57">
        <v>21995</v>
      </c>
      <c r="E896" s="74" t="str">
        <f t="shared" si="13"/>
        <v>C</v>
      </c>
      <c r="G896" s="59"/>
    </row>
    <row r="897" spans="1:7" x14ac:dyDescent="0.2">
      <c r="A897" s="67" t="s">
        <v>1493</v>
      </c>
      <c r="B897" s="49" t="s">
        <v>2110</v>
      </c>
      <c r="C897" s="49" t="s">
        <v>27</v>
      </c>
      <c r="D897" s="57">
        <v>13195</v>
      </c>
      <c r="E897" s="74" t="str">
        <f t="shared" si="13"/>
        <v>C</v>
      </c>
      <c r="G897" s="59"/>
    </row>
    <row r="898" spans="1:7" x14ac:dyDescent="0.2">
      <c r="A898" s="67" t="s">
        <v>1494</v>
      </c>
      <c r="B898" s="49" t="s">
        <v>2111</v>
      </c>
      <c r="C898" s="49" t="s">
        <v>28</v>
      </c>
      <c r="D898" s="57">
        <v>13195</v>
      </c>
      <c r="E898" s="74" t="str">
        <f t="shared" si="13"/>
        <v>C</v>
      </c>
      <c r="G898" s="59"/>
    </row>
    <row r="899" spans="1:7" x14ac:dyDescent="0.2">
      <c r="A899" s="67" t="s">
        <v>1495</v>
      </c>
      <c r="B899" s="49" t="s">
        <v>2112</v>
      </c>
      <c r="C899" s="49" t="s">
        <v>29</v>
      </c>
      <c r="D899" s="57">
        <v>13195</v>
      </c>
      <c r="E899" s="74" t="str">
        <f t="shared" si="13"/>
        <v>C</v>
      </c>
      <c r="G899" s="59"/>
    </row>
    <row r="900" spans="1:7" x14ac:dyDescent="0.2">
      <c r="A900" s="68" t="s">
        <v>1496</v>
      </c>
      <c r="B900" s="39" t="s">
        <v>2069</v>
      </c>
      <c r="C900" s="39" t="s">
        <v>2069</v>
      </c>
      <c r="D900" s="38">
        <v>148495</v>
      </c>
      <c r="E900" s="74" t="str">
        <f t="shared" si="13"/>
        <v>D</v>
      </c>
      <c r="G900" s="59"/>
    </row>
    <row r="901" spans="1:7" x14ac:dyDescent="0.2">
      <c r="A901" s="68" t="s">
        <v>1497</v>
      </c>
      <c r="B901" s="39" t="s">
        <v>2070</v>
      </c>
      <c r="C901" s="39" t="s">
        <v>2070</v>
      </c>
      <c r="D901" s="38">
        <v>98995</v>
      </c>
      <c r="E901" s="74" t="str">
        <f t="shared" ref="E901:E964" si="14">VLOOKUP(D901,$G$4:$H$7,2)</f>
        <v>D</v>
      </c>
      <c r="G901" s="59"/>
    </row>
    <row r="902" spans="1:7" x14ac:dyDescent="0.2">
      <c r="A902" s="68" t="s">
        <v>1498</v>
      </c>
      <c r="B902" s="39" t="s">
        <v>2071</v>
      </c>
      <c r="C902" s="39" t="s">
        <v>2071</v>
      </c>
      <c r="D902" s="38">
        <v>148495</v>
      </c>
      <c r="E902" s="74" t="str">
        <f t="shared" si="14"/>
        <v>D</v>
      </c>
      <c r="G902" s="59"/>
    </row>
    <row r="903" spans="1:7" x14ac:dyDescent="0.2">
      <c r="A903" s="68" t="s">
        <v>1499</v>
      </c>
      <c r="B903" s="39" t="s">
        <v>2072</v>
      </c>
      <c r="C903" s="39" t="s">
        <v>2072</v>
      </c>
      <c r="D903" s="38">
        <v>98995</v>
      </c>
      <c r="E903" s="74" t="str">
        <f t="shared" si="14"/>
        <v>D</v>
      </c>
      <c r="G903" s="59"/>
    </row>
    <row r="904" spans="1:7" x14ac:dyDescent="0.2">
      <c r="A904" s="68" t="s">
        <v>1500</v>
      </c>
      <c r="B904" s="39" t="s">
        <v>2073</v>
      </c>
      <c r="C904" s="39" t="s">
        <v>2073</v>
      </c>
      <c r="D904" s="38">
        <v>65995</v>
      </c>
      <c r="E904" s="74" t="str">
        <f t="shared" si="14"/>
        <v>D</v>
      </c>
      <c r="G904" s="59"/>
    </row>
    <row r="905" spans="1:7" x14ac:dyDescent="0.2">
      <c r="A905" s="67" t="s">
        <v>1501</v>
      </c>
      <c r="B905" s="49" t="s">
        <v>2113</v>
      </c>
      <c r="C905" s="49" t="s">
        <v>30</v>
      </c>
      <c r="D905" s="57">
        <v>10445</v>
      </c>
      <c r="E905" s="74" t="str">
        <f t="shared" si="14"/>
        <v>C</v>
      </c>
      <c r="G905" s="59"/>
    </row>
    <row r="906" spans="1:7" x14ac:dyDescent="0.2">
      <c r="A906" s="67" t="s">
        <v>1502</v>
      </c>
      <c r="B906" s="49" t="s">
        <v>2114</v>
      </c>
      <c r="C906" s="49" t="s">
        <v>31</v>
      </c>
      <c r="D906" s="57">
        <v>7145</v>
      </c>
      <c r="E906" s="74" t="str">
        <f t="shared" si="14"/>
        <v>B</v>
      </c>
      <c r="G906" s="59"/>
    </row>
    <row r="907" spans="1:7" x14ac:dyDescent="0.2">
      <c r="A907" s="67" t="s">
        <v>1503</v>
      </c>
      <c r="B907" s="49" t="s">
        <v>2115</v>
      </c>
      <c r="C907" s="49" t="s">
        <v>32</v>
      </c>
      <c r="D907" s="57">
        <v>5495</v>
      </c>
      <c r="E907" s="74" t="str">
        <f t="shared" si="14"/>
        <v>B</v>
      </c>
      <c r="G907" s="59"/>
    </row>
    <row r="908" spans="1:7" x14ac:dyDescent="0.2">
      <c r="A908" s="67" t="s">
        <v>1504</v>
      </c>
      <c r="B908" s="49" t="s">
        <v>2077</v>
      </c>
      <c r="C908" s="49" t="s">
        <v>15</v>
      </c>
      <c r="D908" s="57">
        <v>8245</v>
      </c>
      <c r="E908" s="74" t="str">
        <f t="shared" si="14"/>
        <v>B</v>
      </c>
      <c r="G908" s="59"/>
    </row>
    <row r="909" spans="1:7" x14ac:dyDescent="0.2">
      <c r="A909" s="67" t="s">
        <v>1505</v>
      </c>
      <c r="B909" s="49" t="s">
        <v>2078</v>
      </c>
      <c r="C909" s="49" t="s">
        <v>16</v>
      </c>
      <c r="D909" s="57">
        <v>3845</v>
      </c>
      <c r="E909" s="74" t="str">
        <f t="shared" si="14"/>
        <v>B</v>
      </c>
      <c r="G909" s="59"/>
    </row>
    <row r="910" spans="1:7" x14ac:dyDescent="0.2">
      <c r="A910" s="67" t="s">
        <v>1506</v>
      </c>
      <c r="B910" s="49" t="s">
        <v>2079</v>
      </c>
      <c r="C910" s="49" t="s">
        <v>459</v>
      </c>
      <c r="D910" s="57">
        <v>2195</v>
      </c>
      <c r="E910" s="74" t="str">
        <f t="shared" si="14"/>
        <v>B</v>
      </c>
      <c r="G910" s="59"/>
    </row>
    <row r="911" spans="1:7" x14ac:dyDescent="0.2">
      <c r="A911" s="67" t="s">
        <v>1507</v>
      </c>
      <c r="B911" s="49" t="s">
        <v>2080</v>
      </c>
      <c r="C911" s="49" t="s">
        <v>460</v>
      </c>
      <c r="D911" s="57">
        <v>2195</v>
      </c>
      <c r="E911" s="74" t="str">
        <f t="shared" si="14"/>
        <v>B</v>
      </c>
      <c r="G911" s="59"/>
    </row>
    <row r="912" spans="1:7" x14ac:dyDescent="0.2">
      <c r="A912" s="67" t="s">
        <v>1508</v>
      </c>
      <c r="B912" s="49" t="s">
        <v>2081</v>
      </c>
      <c r="C912" s="49" t="s">
        <v>461</v>
      </c>
      <c r="D912" s="57">
        <v>3295</v>
      </c>
      <c r="E912" s="74" t="str">
        <f t="shared" si="14"/>
        <v>B</v>
      </c>
      <c r="G912" s="59"/>
    </row>
    <row r="913" spans="1:7" x14ac:dyDescent="0.2">
      <c r="A913" s="67" t="s">
        <v>1509</v>
      </c>
      <c r="B913" s="49" t="s">
        <v>2082</v>
      </c>
      <c r="C913" s="49" t="s">
        <v>462</v>
      </c>
      <c r="D913" s="57">
        <v>3295</v>
      </c>
      <c r="E913" s="74" t="str">
        <f t="shared" si="14"/>
        <v>B</v>
      </c>
      <c r="G913" s="59"/>
    </row>
    <row r="914" spans="1:7" x14ac:dyDescent="0.2">
      <c r="A914" s="67" t="s">
        <v>1510</v>
      </c>
      <c r="B914" s="49" t="s">
        <v>2083</v>
      </c>
      <c r="C914" s="49" t="s">
        <v>463</v>
      </c>
      <c r="D914" s="57">
        <v>1095</v>
      </c>
      <c r="E914" s="74" t="str">
        <f t="shared" si="14"/>
        <v>B</v>
      </c>
      <c r="G914" s="59"/>
    </row>
    <row r="915" spans="1:7" x14ac:dyDescent="0.2">
      <c r="A915" s="67" t="s">
        <v>1511</v>
      </c>
      <c r="B915" s="49" t="s">
        <v>2084</v>
      </c>
      <c r="C915" s="49" t="s">
        <v>464</v>
      </c>
      <c r="D915" s="57">
        <v>1095</v>
      </c>
      <c r="E915" s="74" t="str">
        <f t="shared" si="14"/>
        <v>B</v>
      </c>
      <c r="G915" s="59"/>
    </row>
    <row r="916" spans="1:7" x14ac:dyDescent="0.2">
      <c r="A916" s="67" t="s">
        <v>1512</v>
      </c>
      <c r="B916" s="49" t="s">
        <v>2085</v>
      </c>
      <c r="C916" s="49" t="s">
        <v>465</v>
      </c>
      <c r="D916" s="57">
        <v>825</v>
      </c>
      <c r="E916" s="74" t="str">
        <f t="shared" si="14"/>
        <v>A</v>
      </c>
      <c r="G916" s="59"/>
    </row>
    <row r="917" spans="1:7" x14ac:dyDescent="0.2">
      <c r="A917" s="67" t="s">
        <v>1513</v>
      </c>
      <c r="B917" s="49" t="s">
        <v>2086</v>
      </c>
      <c r="C917" s="49" t="s">
        <v>466</v>
      </c>
      <c r="D917" s="57">
        <v>545</v>
      </c>
      <c r="E917" s="74" t="str">
        <f t="shared" si="14"/>
        <v>A</v>
      </c>
      <c r="G917" s="59"/>
    </row>
    <row r="918" spans="1:7" x14ac:dyDescent="0.2">
      <c r="A918" s="67" t="s">
        <v>1514</v>
      </c>
      <c r="B918" s="49" t="s">
        <v>2087</v>
      </c>
      <c r="C918" s="49" t="s">
        <v>2088</v>
      </c>
      <c r="D918" s="57">
        <v>198</v>
      </c>
      <c r="E918" s="74" t="str">
        <f t="shared" si="14"/>
        <v>A</v>
      </c>
      <c r="G918" s="59"/>
    </row>
    <row r="919" spans="1:7" x14ac:dyDescent="0.2">
      <c r="A919" s="67" t="s">
        <v>1515</v>
      </c>
      <c r="B919" s="49" t="s">
        <v>2089</v>
      </c>
      <c r="C919" s="49" t="s">
        <v>2090</v>
      </c>
      <c r="D919" s="57">
        <v>198</v>
      </c>
      <c r="E919" s="74" t="str">
        <f t="shared" si="14"/>
        <v>A</v>
      </c>
      <c r="G919" s="59"/>
    </row>
    <row r="920" spans="1:7" x14ac:dyDescent="0.2">
      <c r="A920" s="67" t="s">
        <v>1516</v>
      </c>
      <c r="B920" s="49" t="s">
        <v>2091</v>
      </c>
      <c r="C920" s="49" t="s">
        <v>2092</v>
      </c>
      <c r="D920" s="57">
        <v>198</v>
      </c>
      <c r="E920" s="74" t="str">
        <f t="shared" si="14"/>
        <v>A</v>
      </c>
      <c r="G920" s="59"/>
    </row>
    <row r="921" spans="1:7" x14ac:dyDescent="0.2">
      <c r="A921" s="67" t="s">
        <v>1517</v>
      </c>
      <c r="B921" s="49" t="s">
        <v>2093</v>
      </c>
      <c r="C921" s="49" t="s">
        <v>2094</v>
      </c>
      <c r="D921" s="57">
        <v>198</v>
      </c>
      <c r="E921" s="74" t="str">
        <f t="shared" si="14"/>
        <v>A</v>
      </c>
      <c r="G921" s="59"/>
    </row>
    <row r="922" spans="1:7" x14ac:dyDescent="0.2">
      <c r="A922" s="67" t="s">
        <v>1518</v>
      </c>
      <c r="B922" s="49" t="s">
        <v>2095</v>
      </c>
      <c r="C922" s="49" t="s">
        <v>2096</v>
      </c>
      <c r="D922" s="57">
        <v>198</v>
      </c>
      <c r="E922" s="74" t="str">
        <f t="shared" si="14"/>
        <v>A</v>
      </c>
      <c r="G922" s="59"/>
    </row>
    <row r="923" spans="1:7" x14ac:dyDescent="0.2">
      <c r="A923" s="67" t="s">
        <v>1519</v>
      </c>
      <c r="B923" s="49" t="s">
        <v>2097</v>
      </c>
      <c r="C923" s="49" t="s">
        <v>2098</v>
      </c>
      <c r="D923" s="57">
        <v>198</v>
      </c>
      <c r="E923" s="74" t="str">
        <f t="shared" si="14"/>
        <v>A</v>
      </c>
      <c r="G923" s="59"/>
    </row>
    <row r="924" spans="1:7" x14ac:dyDescent="0.2">
      <c r="A924" s="67" t="s">
        <v>1520</v>
      </c>
      <c r="B924" s="49" t="s">
        <v>2099</v>
      </c>
      <c r="C924" s="49" t="s">
        <v>467</v>
      </c>
      <c r="D924" s="57">
        <v>195</v>
      </c>
      <c r="E924" s="74" t="str">
        <f t="shared" si="14"/>
        <v>A</v>
      </c>
      <c r="G924" s="59"/>
    </row>
    <row r="925" spans="1:7" x14ac:dyDescent="0.2">
      <c r="A925" s="67" t="s">
        <v>1521</v>
      </c>
      <c r="B925" s="49" t="s">
        <v>2100</v>
      </c>
      <c r="C925" s="49" t="s">
        <v>17</v>
      </c>
      <c r="D925" s="57">
        <v>165</v>
      </c>
      <c r="E925" s="74" t="str">
        <f t="shared" si="14"/>
        <v>A</v>
      </c>
      <c r="G925" s="59"/>
    </row>
    <row r="926" spans="1:7" x14ac:dyDescent="0.2">
      <c r="A926" s="67" t="s">
        <v>1522</v>
      </c>
      <c r="B926" s="49" t="s">
        <v>2101</v>
      </c>
      <c r="C926" s="49" t="s">
        <v>18</v>
      </c>
      <c r="D926" s="57">
        <v>135</v>
      </c>
      <c r="E926" s="74" t="str">
        <f t="shared" si="14"/>
        <v>A</v>
      </c>
      <c r="G926" s="59"/>
    </row>
    <row r="927" spans="1:7" x14ac:dyDescent="0.2">
      <c r="A927" s="67" t="s">
        <v>1523</v>
      </c>
      <c r="B927" s="49" t="s">
        <v>317</v>
      </c>
      <c r="C927" s="49" t="s">
        <v>317</v>
      </c>
      <c r="D927" s="57">
        <v>765</v>
      </c>
      <c r="E927" s="74" t="str">
        <f t="shared" si="14"/>
        <v>A</v>
      </c>
      <c r="G927" s="59"/>
    </row>
    <row r="928" spans="1:7" x14ac:dyDescent="0.2">
      <c r="A928" s="67" t="s">
        <v>1524</v>
      </c>
      <c r="B928" s="49" t="s">
        <v>529</v>
      </c>
      <c r="C928" s="49" t="s">
        <v>530</v>
      </c>
      <c r="D928" s="60">
        <v>1370</v>
      </c>
      <c r="E928" s="74" t="str">
        <f t="shared" si="14"/>
        <v>B</v>
      </c>
      <c r="G928" s="59"/>
    </row>
    <row r="929" spans="1:7" x14ac:dyDescent="0.2">
      <c r="A929" s="67" t="s">
        <v>1525</v>
      </c>
      <c r="B929" s="49" t="s">
        <v>531</v>
      </c>
      <c r="C929" s="49" t="s">
        <v>532</v>
      </c>
      <c r="D929" s="60">
        <v>2745</v>
      </c>
      <c r="E929" s="74" t="str">
        <f t="shared" si="14"/>
        <v>B</v>
      </c>
      <c r="G929" s="59"/>
    </row>
    <row r="930" spans="1:7" x14ac:dyDescent="0.2">
      <c r="A930" s="67" t="s">
        <v>1526</v>
      </c>
      <c r="B930" s="49" t="s">
        <v>533</v>
      </c>
      <c r="C930" s="49" t="s">
        <v>534</v>
      </c>
      <c r="D930" s="60">
        <v>10995</v>
      </c>
      <c r="E930" s="74" t="str">
        <f t="shared" si="14"/>
        <v>C</v>
      </c>
      <c r="G930" s="59"/>
    </row>
    <row r="931" spans="1:7" x14ac:dyDescent="0.2">
      <c r="A931" s="67" t="s">
        <v>1527</v>
      </c>
      <c r="B931" s="49" t="s">
        <v>369</v>
      </c>
      <c r="C931" s="49" t="s">
        <v>370</v>
      </c>
      <c r="D931" s="60">
        <v>17595</v>
      </c>
      <c r="E931" s="74" t="str">
        <f t="shared" si="14"/>
        <v>C</v>
      </c>
      <c r="G931" s="59"/>
    </row>
    <row r="932" spans="1:7" x14ac:dyDescent="0.2">
      <c r="A932" s="68" t="s">
        <v>1528</v>
      </c>
      <c r="B932" s="39" t="s">
        <v>471</v>
      </c>
      <c r="C932" s="39" t="s">
        <v>368</v>
      </c>
      <c r="D932" s="57">
        <v>1095</v>
      </c>
      <c r="E932" s="74" t="str">
        <f t="shared" si="14"/>
        <v>B</v>
      </c>
      <c r="G932" s="59"/>
    </row>
    <row r="933" spans="1:7" x14ac:dyDescent="0.2">
      <c r="A933" s="70" t="s">
        <v>1529</v>
      </c>
      <c r="B933" s="64" t="s">
        <v>371</v>
      </c>
      <c r="C933" s="66" t="s">
        <v>372</v>
      </c>
      <c r="D933" s="60">
        <v>21995</v>
      </c>
      <c r="E933" s="74" t="str">
        <f t="shared" si="14"/>
        <v>C</v>
      </c>
      <c r="G933" s="59"/>
    </row>
    <row r="934" spans="1:7" x14ac:dyDescent="0.2">
      <c r="A934" s="70" t="s">
        <v>1530</v>
      </c>
      <c r="B934" s="64" t="s">
        <v>373</v>
      </c>
      <c r="C934" s="61" t="s">
        <v>374</v>
      </c>
      <c r="D934" s="60">
        <v>21995</v>
      </c>
      <c r="E934" s="74" t="str">
        <f t="shared" si="14"/>
        <v>C</v>
      </c>
      <c r="G934" s="59"/>
    </row>
    <row r="935" spans="1:7" x14ac:dyDescent="0.2">
      <c r="A935" s="70" t="s">
        <v>1531</v>
      </c>
      <c r="B935" s="64" t="s">
        <v>375</v>
      </c>
      <c r="C935" s="61" t="s">
        <v>376</v>
      </c>
      <c r="D935" s="60">
        <v>21995</v>
      </c>
      <c r="E935" s="74" t="str">
        <f t="shared" si="14"/>
        <v>C</v>
      </c>
      <c r="G935" s="59"/>
    </row>
    <row r="936" spans="1:7" x14ac:dyDescent="0.2">
      <c r="A936" s="70" t="s">
        <v>1532</v>
      </c>
      <c r="B936" s="64" t="s">
        <v>377</v>
      </c>
      <c r="C936" s="61" t="s">
        <v>378</v>
      </c>
      <c r="D936" s="60">
        <v>21995</v>
      </c>
      <c r="E936" s="74" t="str">
        <f t="shared" si="14"/>
        <v>C</v>
      </c>
      <c r="G936" s="59"/>
    </row>
    <row r="937" spans="1:7" x14ac:dyDescent="0.2">
      <c r="A937" s="70" t="s">
        <v>1533</v>
      </c>
      <c r="B937" s="64" t="s">
        <v>379</v>
      </c>
      <c r="C937" s="61" t="s">
        <v>380</v>
      </c>
      <c r="D937" s="60">
        <v>21995</v>
      </c>
      <c r="E937" s="74" t="str">
        <f t="shared" si="14"/>
        <v>C</v>
      </c>
      <c r="G937" s="59"/>
    </row>
    <row r="938" spans="1:7" x14ac:dyDescent="0.2">
      <c r="A938" s="70" t="s">
        <v>1534</v>
      </c>
      <c r="B938" s="64" t="s">
        <v>381</v>
      </c>
      <c r="C938" s="61" t="s">
        <v>382</v>
      </c>
      <c r="D938" s="60">
        <v>21995</v>
      </c>
      <c r="E938" s="74" t="str">
        <f t="shared" si="14"/>
        <v>C</v>
      </c>
      <c r="G938" s="59"/>
    </row>
    <row r="939" spans="1:7" x14ac:dyDescent="0.2">
      <c r="A939" s="70" t="s">
        <v>1535</v>
      </c>
      <c r="B939" s="64" t="s">
        <v>383</v>
      </c>
      <c r="C939" s="61" t="s">
        <v>384</v>
      </c>
      <c r="D939" s="60">
        <v>21995</v>
      </c>
      <c r="E939" s="74" t="str">
        <f t="shared" si="14"/>
        <v>C</v>
      </c>
      <c r="G939" s="59"/>
    </row>
    <row r="940" spans="1:7" x14ac:dyDescent="0.2">
      <c r="A940" s="70" t="s">
        <v>1536</v>
      </c>
      <c r="B940" s="64" t="s">
        <v>385</v>
      </c>
      <c r="C940" s="61" t="s">
        <v>386</v>
      </c>
      <c r="D940" s="60">
        <v>21995</v>
      </c>
      <c r="E940" s="74" t="str">
        <f t="shared" si="14"/>
        <v>C</v>
      </c>
      <c r="G940" s="59"/>
    </row>
    <row r="941" spans="1:7" x14ac:dyDescent="0.2">
      <c r="A941" s="70" t="s">
        <v>1537</v>
      </c>
      <c r="B941" s="64" t="s">
        <v>387</v>
      </c>
      <c r="C941" s="61" t="s">
        <v>388</v>
      </c>
      <c r="D941" s="60">
        <v>21995</v>
      </c>
      <c r="E941" s="74" t="str">
        <f t="shared" si="14"/>
        <v>C</v>
      </c>
      <c r="G941" s="59"/>
    </row>
    <row r="942" spans="1:7" x14ac:dyDescent="0.2">
      <c r="A942" s="70" t="s">
        <v>1538</v>
      </c>
      <c r="B942" s="64" t="s">
        <v>389</v>
      </c>
      <c r="C942" s="61" t="s">
        <v>390</v>
      </c>
      <c r="D942" s="60">
        <v>21995</v>
      </c>
      <c r="E942" s="74" t="str">
        <f t="shared" si="14"/>
        <v>C</v>
      </c>
      <c r="G942" s="59"/>
    </row>
    <row r="943" spans="1:7" x14ac:dyDescent="0.2">
      <c r="A943" s="70" t="s">
        <v>1539</v>
      </c>
      <c r="B943" s="64" t="s">
        <v>391</v>
      </c>
      <c r="C943" s="61" t="s">
        <v>392</v>
      </c>
      <c r="D943" s="60">
        <v>21995</v>
      </c>
      <c r="E943" s="74" t="str">
        <f t="shared" si="14"/>
        <v>C</v>
      </c>
      <c r="G943" s="59"/>
    </row>
    <row r="944" spans="1:7" x14ac:dyDescent="0.2">
      <c r="A944" s="70" t="s">
        <v>1540</v>
      </c>
      <c r="B944" s="64" t="s">
        <v>393</v>
      </c>
      <c r="C944" s="61" t="s">
        <v>394</v>
      </c>
      <c r="D944" s="60">
        <v>21995</v>
      </c>
      <c r="E944" s="74" t="str">
        <f t="shared" si="14"/>
        <v>C</v>
      </c>
      <c r="G944" s="59"/>
    </row>
    <row r="945" spans="1:7" x14ac:dyDescent="0.2">
      <c r="A945" s="70" t="s">
        <v>1541</v>
      </c>
      <c r="B945" s="64" t="s">
        <v>395</v>
      </c>
      <c r="C945" s="61" t="s">
        <v>396</v>
      </c>
      <c r="D945" s="60">
        <v>21995</v>
      </c>
      <c r="E945" s="74" t="str">
        <f t="shared" si="14"/>
        <v>C</v>
      </c>
      <c r="G945" s="59"/>
    </row>
    <row r="946" spans="1:7" x14ac:dyDescent="0.2">
      <c r="A946" s="70" t="s">
        <v>1542</v>
      </c>
      <c r="B946" s="64" t="s">
        <v>397</v>
      </c>
      <c r="C946" s="61" t="s">
        <v>398</v>
      </c>
      <c r="D946" s="60">
        <v>21995</v>
      </c>
      <c r="E946" s="74" t="str">
        <f t="shared" si="14"/>
        <v>C</v>
      </c>
      <c r="G946" s="59"/>
    </row>
    <row r="947" spans="1:7" x14ac:dyDescent="0.2">
      <c r="A947" s="70" t="s">
        <v>1543</v>
      </c>
      <c r="B947" s="64" t="s">
        <v>399</v>
      </c>
      <c r="C947" s="61" t="s">
        <v>400</v>
      </c>
      <c r="D947" s="60">
        <v>21995</v>
      </c>
      <c r="E947" s="74" t="str">
        <f t="shared" si="14"/>
        <v>C</v>
      </c>
      <c r="G947" s="59"/>
    </row>
    <row r="948" spans="1:7" x14ac:dyDescent="0.2">
      <c r="A948" s="70" t="s">
        <v>1544</v>
      </c>
      <c r="B948" s="64" t="s">
        <v>401</v>
      </c>
      <c r="C948" s="61" t="s">
        <v>402</v>
      </c>
      <c r="D948" s="60">
        <v>21995</v>
      </c>
      <c r="E948" s="74" t="str">
        <f t="shared" si="14"/>
        <v>C</v>
      </c>
      <c r="G948" s="59"/>
    </row>
    <row r="949" spans="1:7" x14ac:dyDescent="0.2">
      <c r="A949" s="70" t="s">
        <v>1545</v>
      </c>
      <c r="B949" s="64" t="s">
        <v>403</v>
      </c>
      <c r="C949" s="61" t="s">
        <v>404</v>
      </c>
      <c r="D949" s="60">
        <v>21995</v>
      </c>
      <c r="E949" s="74" t="str">
        <f t="shared" si="14"/>
        <v>C</v>
      </c>
      <c r="G949" s="59"/>
    </row>
    <row r="950" spans="1:7" x14ac:dyDescent="0.2">
      <c r="A950" s="70" t="s">
        <v>1546</v>
      </c>
      <c r="B950" s="64" t="s">
        <v>405</v>
      </c>
      <c r="C950" s="61" t="s">
        <v>406</v>
      </c>
      <c r="D950" s="60">
        <v>21995</v>
      </c>
      <c r="E950" s="74" t="str">
        <f t="shared" si="14"/>
        <v>C</v>
      </c>
      <c r="G950" s="59"/>
    </row>
    <row r="951" spans="1:7" x14ac:dyDescent="0.2">
      <c r="A951" s="70" t="s">
        <v>1547</v>
      </c>
      <c r="B951" s="64" t="s">
        <v>407</v>
      </c>
      <c r="C951" s="61" t="s">
        <v>408</v>
      </c>
      <c r="D951" s="60">
        <v>21995</v>
      </c>
      <c r="E951" s="74" t="str">
        <f t="shared" si="14"/>
        <v>C</v>
      </c>
      <c r="G951" s="59"/>
    </row>
    <row r="952" spans="1:7" x14ac:dyDescent="0.2">
      <c r="A952" s="70" t="s">
        <v>1548</v>
      </c>
      <c r="B952" s="64" t="s">
        <v>409</v>
      </c>
      <c r="C952" s="61" t="s">
        <v>410</v>
      </c>
      <c r="D952" s="60">
        <v>21995</v>
      </c>
      <c r="E952" s="74" t="str">
        <f t="shared" si="14"/>
        <v>C</v>
      </c>
      <c r="G952" s="59"/>
    </row>
    <row r="953" spans="1:7" x14ac:dyDescent="0.2">
      <c r="A953" s="70" t="s">
        <v>1549</v>
      </c>
      <c r="B953" s="64" t="s">
        <v>411</v>
      </c>
      <c r="C953" s="61" t="s">
        <v>412</v>
      </c>
      <c r="D953" s="60">
        <v>21995</v>
      </c>
      <c r="E953" s="74" t="str">
        <f t="shared" si="14"/>
        <v>C</v>
      </c>
      <c r="G953" s="59"/>
    </row>
    <row r="954" spans="1:7" x14ac:dyDescent="0.2">
      <c r="A954" s="70" t="s">
        <v>1550</v>
      </c>
      <c r="B954" s="64" t="s">
        <v>413</v>
      </c>
      <c r="C954" s="61" t="s">
        <v>414</v>
      </c>
      <c r="D954" s="60">
        <v>21995</v>
      </c>
      <c r="E954" s="74" t="str">
        <f t="shared" si="14"/>
        <v>C</v>
      </c>
      <c r="G954" s="59"/>
    </row>
    <row r="955" spans="1:7" x14ac:dyDescent="0.2">
      <c r="A955" s="70" t="s">
        <v>1551</v>
      </c>
      <c r="B955" s="64" t="s">
        <v>415</v>
      </c>
      <c r="C955" s="61" t="s">
        <v>416</v>
      </c>
      <c r="D955" s="60">
        <v>21995</v>
      </c>
      <c r="E955" s="74" t="str">
        <f t="shared" si="14"/>
        <v>C</v>
      </c>
      <c r="G955" s="59"/>
    </row>
    <row r="956" spans="1:7" x14ac:dyDescent="0.2">
      <c r="A956" s="70" t="s">
        <v>1552</v>
      </c>
      <c r="B956" s="64" t="s">
        <v>417</v>
      </c>
      <c r="C956" s="61" t="s">
        <v>418</v>
      </c>
      <c r="D956" s="60">
        <v>21995</v>
      </c>
      <c r="E956" s="74" t="str">
        <f t="shared" si="14"/>
        <v>C</v>
      </c>
      <c r="G956" s="59"/>
    </row>
    <row r="957" spans="1:7" x14ac:dyDescent="0.2">
      <c r="A957" s="70" t="s">
        <v>1553</v>
      </c>
      <c r="B957" s="64" t="s">
        <v>419</v>
      </c>
      <c r="C957" s="61" t="s">
        <v>420</v>
      </c>
      <c r="D957" s="60">
        <v>21995</v>
      </c>
      <c r="E957" s="74" t="str">
        <f t="shared" si="14"/>
        <v>C</v>
      </c>
      <c r="G957" s="59"/>
    </row>
    <row r="958" spans="1:7" x14ac:dyDescent="0.2">
      <c r="A958" s="70" t="s">
        <v>1554</v>
      </c>
      <c r="B958" s="64" t="s">
        <v>421</v>
      </c>
      <c r="C958" s="61" t="s">
        <v>422</v>
      </c>
      <c r="D958" s="60">
        <v>21995</v>
      </c>
      <c r="E958" s="74" t="str">
        <f t="shared" si="14"/>
        <v>C</v>
      </c>
      <c r="G958" s="59"/>
    </row>
    <row r="959" spans="1:7" x14ac:dyDescent="0.2">
      <c r="A959" s="70" t="s">
        <v>1555</v>
      </c>
      <c r="B959" s="64" t="s">
        <v>423</v>
      </c>
      <c r="C959" s="61" t="s">
        <v>424</v>
      </c>
      <c r="D959" s="60">
        <v>21995</v>
      </c>
      <c r="E959" s="74" t="str">
        <f t="shared" si="14"/>
        <v>C</v>
      </c>
      <c r="G959" s="59"/>
    </row>
    <row r="960" spans="1:7" x14ac:dyDescent="0.2">
      <c r="A960" s="70" t="s">
        <v>1556</v>
      </c>
      <c r="B960" s="64" t="s">
        <v>425</v>
      </c>
      <c r="C960" s="61" t="s">
        <v>426</v>
      </c>
      <c r="D960" s="60">
        <v>21995</v>
      </c>
      <c r="E960" s="74" t="str">
        <f t="shared" si="14"/>
        <v>C</v>
      </c>
      <c r="G960" s="59"/>
    </row>
    <row r="961" spans="1:7" x14ac:dyDescent="0.2">
      <c r="A961" s="70" t="s">
        <v>1557</v>
      </c>
      <c r="B961" s="64" t="s">
        <v>427</v>
      </c>
      <c r="C961" s="61" t="s">
        <v>428</v>
      </c>
      <c r="D961" s="60">
        <v>21995</v>
      </c>
      <c r="E961" s="74" t="str">
        <f t="shared" si="14"/>
        <v>C</v>
      </c>
      <c r="G961" s="59"/>
    </row>
    <row r="962" spans="1:7" x14ac:dyDescent="0.2">
      <c r="A962" s="70" t="s">
        <v>1558</v>
      </c>
      <c r="B962" s="64" t="s">
        <v>429</v>
      </c>
      <c r="C962" s="61" t="s">
        <v>430</v>
      </c>
      <c r="D962" s="60">
        <v>21995</v>
      </c>
      <c r="E962" s="74" t="str">
        <f t="shared" si="14"/>
        <v>C</v>
      </c>
      <c r="G962" s="59"/>
    </row>
    <row r="963" spans="1:7" x14ac:dyDescent="0.2">
      <c r="A963" s="70" t="s">
        <v>1559</v>
      </c>
      <c r="B963" s="64" t="s">
        <v>431</v>
      </c>
      <c r="C963" s="61" t="s">
        <v>432</v>
      </c>
      <c r="D963" s="60">
        <v>21995</v>
      </c>
      <c r="E963" s="74" t="str">
        <f t="shared" si="14"/>
        <v>C</v>
      </c>
      <c r="G963" s="59"/>
    </row>
    <row r="964" spans="1:7" x14ac:dyDescent="0.2">
      <c r="A964" s="70" t="s">
        <v>1560</v>
      </c>
      <c r="B964" s="64" t="s">
        <v>433</v>
      </c>
      <c r="C964" s="61" t="s">
        <v>434</v>
      </c>
      <c r="D964" s="60">
        <v>21995</v>
      </c>
      <c r="E964" s="74" t="str">
        <f t="shared" si="14"/>
        <v>C</v>
      </c>
      <c r="G964" s="59"/>
    </row>
    <row r="965" spans="1:7" x14ac:dyDescent="0.2">
      <c r="A965" s="70" t="s">
        <v>1561</v>
      </c>
      <c r="B965" s="64" t="s">
        <v>435</v>
      </c>
      <c r="C965" s="61" t="s">
        <v>436</v>
      </c>
      <c r="D965" s="60">
        <v>21995</v>
      </c>
      <c r="E965" s="74" t="str">
        <f t="shared" ref="E965:E1028" si="15">VLOOKUP(D965,$G$4:$H$7,2)</f>
        <v>C</v>
      </c>
      <c r="G965" s="59"/>
    </row>
    <row r="966" spans="1:7" x14ac:dyDescent="0.2">
      <c r="A966" s="70" t="s">
        <v>1562</v>
      </c>
      <c r="B966" s="64" t="s">
        <v>437</v>
      </c>
      <c r="C966" s="61" t="s">
        <v>438</v>
      </c>
      <c r="D966" s="60">
        <v>21995</v>
      </c>
      <c r="E966" s="74" t="str">
        <f t="shared" si="15"/>
        <v>C</v>
      </c>
      <c r="G966" s="59"/>
    </row>
    <row r="967" spans="1:7" x14ac:dyDescent="0.2">
      <c r="A967" s="70" t="s">
        <v>1563</v>
      </c>
      <c r="B967" s="64" t="s">
        <v>439</v>
      </c>
      <c r="C967" s="61" t="s">
        <v>440</v>
      </c>
      <c r="D967" s="60">
        <v>21995</v>
      </c>
      <c r="E967" s="74" t="str">
        <f t="shared" si="15"/>
        <v>C</v>
      </c>
      <c r="G967" s="59"/>
    </row>
    <row r="968" spans="1:7" x14ac:dyDescent="0.2">
      <c r="A968" s="70" t="s">
        <v>1564</v>
      </c>
      <c r="B968" s="64" t="s">
        <v>441</v>
      </c>
      <c r="C968" s="61" t="s">
        <v>442</v>
      </c>
      <c r="D968" s="60">
        <v>21995</v>
      </c>
      <c r="E968" s="74" t="str">
        <f t="shared" si="15"/>
        <v>C</v>
      </c>
      <c r="G968" s="59"/>
    </row>
    <row r="969" spans="1:7" x14ac:dyDescent="0.2">
      <c r="A969" s="70" t="s">
        <v>1565</v>
      </c>
      <c r="B969" s="64" t="s">
        <v>443</v>
      </c>
      <c r="C969" s="61" t="s">
        <v>444</v>
      </c>
      <c r="D969" s="60">
        <v>21995</v>
      </c>
      <c r="E969" s="74" t="str">
        <f t="shared" si="15"/>
        <v>C</v>
      </c>
      <c r="G969" s="59"/>
    </row>
    <row r="970" spans="1:7" x14ac:dyDescent="0.2">
      <c r="A970" s="70" t="s">
        <v>1566</v>
      </c>
      <c r="B970" s="64" t="s">
        <v>445</v>
      </c>
      <c r="C970" s="61" t="s">
        <v>446</v>
      </c>
      <c r="D970" s="60">
        <v>21995</v>
      </c>
      <c r="E970" s="74" t="str">
        <f t="shared" si="15"/>
        <v>C</v>
      </c>
      <c r="G970" s="59"/>
    </row>
    <row r="971" spans="1:7" x14ac:dyDescent="0.2">
      <c r="A971" s="70" t="s">
        <v>1567</v>
      </c>
      <c r="B971" s="64" t="s">
        <v>447</v>
      </c>
      <c r="C971" s="61" t="s">
        <v>448</v>
      </c>
      <c r="D971" s="60">
        <v>21995</v>
      </c>
      <c r="E971" s="74" t="str">
        <f t="shared" si="15"/>
        <v>C</v>
      </c>
      <c r="G971" s="59"/>
    </row>
    <row r="972" spans="1:7" x14ac:dyDescent="0.2">
      <c r="A972" s="70" t="s">
        <v>1568</v>
      </c>
      <c r="B972" s="64" t="s">
        <v>449</v>
      </c>
      <c r="C972" s="61" t="s">
        <v>450</v>
      </c>
      <c r="D972" s="60">
        <v>21995</v>
      </c>
      <c r="E972" s="74" t="str">
        <f t="shared" si="15"/>
        <v>C</v>
      </c>
      <c r="G972" s="59"/>
    </row>
    <row r="973" spans="1:7" x14ac:dyDescent="0.2">
      <c r="A973" s="67" t="s">
        <v>1569</v>
      </c>
      <c r="B973" s="49" t="s">
        <v>359</v>
      </c>
      <c r="C973" s="49" t="s">
        <v>360</v>
      </c>
      <c r="D973" s="60">
        <v>325</v>
      </c>
      <c r="E973" s="74" t="str">
        <f t="shared" si="15"/>
        <v>A</v>
      </c>
      <c r="G973" s="59"/>
    </row>
    <row r="974" spans="1:7" x14ac:dyDescent="0.2">
      <c r="A974" s="67" t="s">
        <v>1570</v>
      </c>
      <c r="B974" s="49" t="s">
        <v>590</v>
      </c>
      <c r="C974" s="49" t="s">
        <v>591</v>
      </c>
      <c r="D974" s="60">
        <v>490</v>
      </c>
      <c r="E974" s="74" t="str">
        <f t="shared" si="15"/>
        <v>A</v>
      </c>
      <c r="G974" s="59"/>
    </row>
    <row r="975" spans="1:7" x14ac:dyDescent="0.2">
      <c r="A975" s="67" t="s">
        <v>1571</v>
      </c>
      <c r="B975" s="49" t="s">
        <v>592</v>
      </c>
      <c r="C975" s="49" t="s">
        <v>593</v>
      </c>
      <c r="D975" s="60">
        <v>490</v>
      </c>
      <c r="E975" s="74" t="str">
        <f t="shared" si="15"/>
        <v>A</v>
      </c>
      <c r="G975" s="59"/>
    </row>
    <row r="976" spans="1:7" x14ac:dyDescent="0.2">
      <c r="A976" s="67" t="s">
        <v>1572</v>
      </c>
      <c r="B976" s="49" t="s">
        <v>173</v>
      </c>
      <c r="C976" s="49" t="s">
        <v>595</v>
      </c>
      <c r="D976" s="60">
        <v>1095</v>
      </c>
      <c r="E976" s="74" t="str">
        <f t="shared" si="15"/>
        <v>B</v>
      </c>
      <c r="G976" s="59"/>
    </row>
    <row r="977" spans="1:7" x14ac:dyDescent="0.2">
      <c r="A977" s="67" t="s">
        <v>1573</v>
      </c>
      <c r="B977" s="49" t="s">
        <v>518</v>
      </c>
      <c r="C977" s="49" t="s">
        <v>595</v>
      </c>
      <c r="D977" s="60">
        <v>4395</v>
      </c>
      <c r="E977" s="74" t="str">
        <f t="shared" si="15"/>
        <v>B</v>
      </c>
      <c r="G977" s="59"/>
    </row>
    <row r="978" spans="1:7" x14ac:dyDescent="0.2">
      <c r="A978" s="67" t="s">
        <v>1574</v>
      </c>
      <c r="B978" s="49" t="s">
        <v>588</v>
      </c>
      <c r="C978" s="49" t="s">
        <v>589</v>
      </c>
      <c r="D978" s="60">
        <v>5495</v>
      </c>
      <c r="E978" s="74" t="str">
        <f t="shared" si="15"/>
        <v>B</v>
      </c>
      <c r="G978" s="59"/>
    </row>
    <row r="979" spans="1:7" x14ac:dyDescent="0.2">
      <c r="A979" s="67" t="s">
        <v>1575</v>
      </c>
      <c r="B979" s="49" t="s">
        <v>1851</v>
      </c>
      <c r="C979" s="49" t="s">
        <v>550</v>
      </c>
      <c r="D979" s="60">
        <v>5495</v>
      </c>
      <c r="E979" s="74" t="str">
        <f t="shared" si="15"/>
        <v>B</v>
      </c>
      <c r="G979" s="59"/>
    </row>
    <row r="980" spans="1:7" x14ac:dyDescent="0.2">
      <c r="A980" s="67" t="s">
        <v>1576</v>
      </c>
      <c r="B980" s="49" t="s">
        <v>1852</v>
      </c>
      <c r="C980" s="49" t="s">
        <v>551</v>
      </c>
      <c r="D980" s="60">
        <v>5495</v>
      </c>
      <c r="E980" s="74" t="str">
        <f t="shared" si="15"/>
        <v>B</v>
      </c>
      <c r="G980" s="59"/>
    </row>
    <row r="981" spans="1:7" x14ac:dyDescent="0.2">
      <c r="A981" s="67" t="s">
        <v>1577</v>
      </c>
      <c r="B981" s="49" t="s">
        <v>1853</v>
      </c>
      <c r="C981" s="49" t="s">
        <v>552</v>
      </c>
      <c r="D981" s="60">
        <v>5495</v>
      </c>
      <c r="E981" s="74" t="str">
        <f t="shared" si="15"/>
        <v>B</v>
      </c>
      <c r="G981" s="59"/>
    </row>
    <row r="982" spans="1:7" x14ac:dyDescent="0.2">
      <c r="A982" s="67" t="s">
        <v>1578</v>
      </c>
      <c r="B982" s="49" t="s">
        <v>1854</v>
      </c>
      <c r="C982" s="49" t="s">
        <v>553</v>
      </c>
      <c r="D982" s="60">
        <v>5495</v>
      </c>
      <c r="E982" s="74" t="str">
        <f t="shared" si="15"/>
        <v>B</v>
      </c>
      <c r="G982" s="59"/>
    </row>
    <row r="983" spans="1:7" x14ac:dyDescent="0.2">
      <c r="A983" s="67" t="s">
        <v>1579</v>
      </c>
      <c r="B983" s="49" t="s">
        <v>1855</v>
      </c>
      <c r="C983" s="49" t="s">
        <v>554</v>
      </c>
      <c r="D983" s="60">
        <v>5495</v>
      </c>
      <c r="E983" s="74" t="str">
        <f t="shared" si="15"/>
        <v>B</v>
      </c>
      <c r="G983" s="59"/>
    </row>
    <row r="984" spans="1:7" x14ac:dyDescent="0.2">
      <c r="A984" s="67" t="s">
        <v>1580</v>
      </c>
      <c r="B984" s="49" t="s">
        <v>1856</v>
      </c>
      <c r="C984" s="49" t="s">
        <v>555</v>
      </c>
      <c r="D984" s="60">
        <v>5495</v>
      </c>
      <c r="E984" s="74" t="str">
        <f t="shared" si="15"/>
        <v>B</v>
      </c>
      <c r="G984" s="59"/>
    </row>
    <row r="985" spans="1:7" x14ac:dyDescent="0.2">
      <c r="A985" s="67" t="s">
        <v>1581</v>
      </c>
      <c r="B985" s="49" t="s">
        <v>1857</v>
      </c>
      <c r="C985" s="49" t="s">
        <v>556</v>
      </c>
      <c r="D985" s="60">
        <v>5495</v>
      </c>
      <c r="E985" s="74" t="str">
        <f t="shared" si="15"/>
        <v>B</v>
      </c>
      <c r="G985" s="59"/>
    </row>
    <row r="986" spans="1:7" x14ac:dyDescent="0.2">
      <c r="A986" s="67" t="s">
        <v>1582</v>
      </c>
      <c r="B986" s="49" t="s">
        <v>1858</v>
      </c>
      <c r="C986" s="49" t="s">
        <v>557</v>
      </c>
      <c r="D986" s="60">
        <v>5495</v>
      </c>
      <c r="E986" s="74" t="str">
        <f t="shared" si="15"/>
        <v>B</v>
      </c>
      <c r="G986" s="59"/>
    </row>
    <row r="987" spans="1:7" x14ac:dyDescent="0.2">
      <c r="A987" s="67" t="s">
        <v>1583</v>
      </c>
      <c r="B987" s="49" t="s">
        <v>363</v>
      </c>
      <c r="C987" s="49" t="s">
        <v>364</v>
      </c>
      <c r="D987" s="60">
        <v>1315</v>
      </c>
      <c r="E987" s="74" t="str">
        <f t="shared" si="15"/>
        <v>B</v>
      </c>
      <c r="G987" s="59"/>
    </row>
    <row r="988" spans="1:7" x14ac:dyDescent="0.2">
      <c r="A988" s="67" t="s">
        <v>1584</v>
      </c>
      <c r="B988" s="49" t="s">
        <v>365</v>
      </c>
      <c r="C988" s="49" t="s">
        <v>366</v>
      </c>
      <c r="D988" s="60">
        <v>1315</v>
      </c>
      <c r="E988" s="74" t="str">
        <f t="shared" si="15"/>
        <v>B</v>
      </c>
      <c r="G988" s="59"/>
    </row>
    <row r="989" spans="1:7" x14ac:dyDescent="0.2">
      <c r="A989" s="67" t="s">
        <v>1585</v>
      </c>
      <c r="B989" s="49" t="s">
        <v>361</v>
      </c>
      <c r="C989" s="49" t="s">
        <v>362</v>
      </c>
      <c r="D989" s="60">
        <v>655</v>
      </c>
      <c r="E989" s="74" t="str">
        <f t="shared" si="15"/>
        <v>A</v>
      </c>
      <c r="G989" s="59"/>
    </row>
    <row r="990" spans="1:7" x14ac:dyDescent="0.2">
      <c r="A990" s="67" t="s">
        <v>1586</v>
      </c>
      <c r="B990" s="49" t="s">
        <v>355</v>
      </c>
      <c r="C990" s="49" t="s">
        <v>356</v>
      </c>
      <c r="D990" s="60">
        <v>435</v>
      </c>
      <c r="E990" s="74" t="str">
        <f t="shared" si="15"/>
        <v>A</v>
      </c>
      <c r="G990" s="59"/>
    </row>
    <row r="991" spans="1:7" x14ac:dyDescent="0.2">
      <c r="A991" s="67" t="s">
        <v>1587</v>
      </c>
      <c r="B991" s="49" t="s">
        <v>357</v>
      </c>
      <c r="C991" s="49" t="s">
        <v>358</v>
      </c>
      <c r="D991" s="60">
        <v>435</v>
      </c>
      <c r="E991" s="74" t="str">
        <f t="shared" si="15"/>
        <v>A</v>
      </c>
      <c r="G991" s="59"/>
    </row>
    <row r="992" spans="1:7" x14ac:dyDescent="0.2">
      <c r="A992" s="67" t="s">
        <v>1588</v>
      </c>
      <c r="B992" s="49" t="s">
        <v>351</v>
      </c>
      <c r="C992" s="49" t="s">
        <v>352</v>
      </c>
      <c r="D992" s="60">
        <v>185</v>
      </c>
      <c r="E992" s="74" t="str">
        <f t="shared" si="15"/>
        <v>A</v>
      </c>
      <c r="G992" s="59"/>
    </row>
    <row r="993" spans="1:7" x14ac:dyDescent="0.2">
      <c r="A993" s="68" t="s">
        <v>1589</v>
      </c>
      <c r="B993" s="39" t="s">
        <v>509</v>
      </c>
      <c r="C993" s="39" t="s">
        <v>509</v>
      </c>
      <c r="D993" s="38">
        <v>4395</v>
      </c>
      <c r="E993" s="74" t="str">
        <f t="shared" si="15"/>
        <v>B</v>
      </c>
      <c r="G993" s="59"/>
    </row>
    <row r="994" spans="1:7" x14ac:dyDescent="0.2">
      <c r="A994" s="68" t="s">
        <v>1590</v>
      </c>
      <c r="B994" s="39" t="s">
        <v>510</v>
      </c>
      <c r="C994" s="39" t="s">
        <v>510</v>
      </c>
      <c r="D994" s="38">
        <v>10995</v>
      </c>
      <c r="E994" s="74" t="str">
        <f t="shared" si="15"/>
        <v>C</v>
      </c>
      <c r="G994" s="59"/>
    </row>
    <row r="995" spans="1:7" x14ac:dyDescent="0.2">
      <c r="A995" s="68" t="s">
        <v>1591</v>
      </c>
      <c r="B995" s="39" t="s">
        <v>511</v>
      </c>
      <c r="C995" s="39" t="s">
        <v>511</v>
      </c>
      <c r="D995" s="38">
        <v>2745</v>
      </c>
      <c r="E995" s="74" t="str">
        <f t="shared" si="15"/>
        <v>B</v>
      </c>
      <c r="G995" s="59"/>
    </row>
    <row r="996" spans="1:7" x14ac:dyDescent="0.2">
      <c r="A996" s="68" t="s">
        <v>1592</v>
      </c>
      <c r="B996" s="39" t="s">
        <v>512</v>
      </c>
      <c r="C996" s="39" t="s">
        <v>512</v>
      </c>
      <c r="D996" s="38">
        <v>3295</v>
      </c>
      <c r="E996" s="74" t="str">
        <f t="shared" si="15"/>
        <v>B</v>
      </c>
      <c r="G996" s="59"/>
    </row>
    <row r="997" spans="1:7" x14ac:dyDescent="0.2">
      <c r="A997" s="68" t="s">
        <v>1593</v>
      </c>
      <c r="B997" s="39" t="s">
        <v>513</v>
      </c>
      <c r="C997" s="39" t="s">
        <v>513</v>
      </c>
      <c r="D997" s="38">
        <v>4295</v>
      </c>
      <c r="E997" s="74" t="str">
        <f t="shared" si="15"/>
        <v>B</v>
      </c>
      <c r="G997" s="59"/>
    </row>
    <row r="998" spans="1:7" x14ac:dyDescent="0.2">
      <c r="A998" s="68" t="s">
        <v>1594</v>
      </c>
      <c r="B998" s="39" t="s">
        <v>514</v>
      </c>
      <c r="C998" s="39" t="s">
        <v>514</v>
      </c>
      <c r="D998" s="38">
        <v>6045</v>
      </c>
      <c r="E998" s="74" t="str">
        <f t="shared" si="15"/>
        <v>B</v>
      </c>
      <c r="G998" s="59"/>
    </row>
    <row r="999" spans="1:7" x14ac:dyDescent="0.2">
      <c r="A999" s="68" t="s">
        <v>1595</v>
      </c>
      <c r="B999" s="39" t="s">
        <v>515</v>
      </c>
      <c r="C999" s="39" t="s">
        <v>515</v>
      </c>
      <c r="D999" s="38">
        <v>1995</v>
      </c>
      <c r="E999" s="74" t="str">
        <f t="shared" si="15"/>
        <v>B</v>
      </c>
      <c r="G999" s="59"/>
    </row>
    <row r="1000" spans="1:7" x14ac:dyDescent="0.2">
      <c r="A1000" s="68" t="s">
        <v>1596</v>
      </c>
      <c r="B1000" s="39" t="s">
        <v>516</v>
      </c>
      <c r="C1000" s="39" t="s">
        <v>516</v>
      </c>
      <c r="D1000" s="38">
        <v>2395</v>
      </c>
      <c r="E1000" s="74" t="str">
        <f t="shared" si="15"/>
        <v>B</v>
      </c>
      <c r="G1000" s="59"/>
    </row>
    <row r="1001" spans="1:7" x14ac:dyDescent="0.2">
      <c r="A1001" s="68" t="s">
        <v>1597</v>
      </c>
      <c r="B1001" s="39" t="s">
        <v>517</v>
      </c>
      <c r="C1001" s="39" t="s">
        <v>517</v>
      </c>
      <c r="D1001" s="38">
        <v>2845</v>
      </c>
      <c r="E1001" s="74" t="str">
        <f t="shared" si="15"/>
        <v>B</v>
      </c>
      <c r="G1001" s="59"/>
    </row>
    <row r="1002" spans="1:7" x14ac:dyDescent="0.2">
      <c r="A1002" s="68" t="s">
        <v>1598</v>
      </c>
      <c r="B1002" s="39" t="s">
        <v>500</v>
      </c>
      <c r="C1002" s="39" t="s">
        <v>353</v>
      </c>
      <c r="D1002" s="38">
        <v>325</v>
      </c>
      <c r="E1002" s="74" t="str">
        <f t="shared" si="15"/>
        <v>A</v>
      </c>
      <c r="G1002" s="59"/>
    </row>
    <row r="1003" spans="1:7" x14ac:dyDescent="0.2">
      <c r="A1003" s="68" t="s">
        <v>1599</v>
      </c>
      <c r="B1003" s="39" t="s">
        <v>2116</v>
      </c>
      <c r="C1003" s="39" t="s">
        <v>2117</v>
      </c>
      <c r="D1003" s="38">
        <v>10995</v>
      </c>
      <c r="E1003" s="74" t="str">
        <f t="shared" si="15"/>
        <v>C</v>
      </c>
      <c r="G1003" s="59"/>
    </row>
    <row r="1004" spans="1:7" x14ac:dyDescent="0.2">
      <c r="A1004" s="68" t="s">
        <v>1600</v>
      </c>
      <c r="B1004" s="39" t="s">
        <v>2118</v>
      </c>
      <c r="C1004" s="39" t="s">
        <v>2119</v>
      </c>
      <c r="D1004" s="38">
        <v>11495</v>
      </c>
      <c r="E1004" s="74" t="str">
        <f t="shared" si="15"/>
        <v>C</v>
      </c>
      <c r="G1004" s="59"/>
    </row>
    <row r="1005" spans="1:7" x14ac:dyDescent="0.2">
      <c r="A1005" s="68" t="s">
        <v>1601</v>
      </c>
      <c r="B1005" s="39" t="s">
        <v>2120</v>
      </c>
      <c r="C1005" s="39" t="s">
        <v>2121</v>
      </c>
      <c r="D1005" s="38">
        <v>13995</v>
      </c>
      <c r="E1005" s="74" t="str">
        <f t="shared" si="15"/>
        <v>C</v>
      </c>
      <c r="G1005" s="59"/>
    </row>
    <row r="1006" spans="1:7" x14ac:dyDescent="0.2">
      <c r="A1006" s="68" t="s">
        <v>1602</v>
      </c>
      <c r="B1006" s="39" t="s">
        <v>2122</v>
      </c>
      <c r="C1006" s="39" t="s">
        <v>2123</v>
      </c>
      <c r="D1006" s="38">
        <v>14495</v>
      </c>
      <c r="E1006" s="74" t="str">
        <f t="shared" si="15"/>
        <v>C</v>
      </c>
      <c r="G1006" s="59"/>
    </row>
    <row r="1007" spans="1:7" x14ac:dyDescent="0.2">
      <c r="A1007" s="68" t="s">
        <v>1603</v>
      </c>
      <c r="B1007" s="39" t="s">
        <v>2124</v>
      </c>
      <c r="C1007" s="39" t="s">
        <v>2125</v>
      </c>
      <c r="D1007" s="38">
        <v>875</v>
      </c>
      <c r="E1007" s="74" t="str">
        <f t="shared" si="15"/>
        <v>A</v>
      </c>
      <c r="G1007" s="59"/>
    </row>
    <row r="1008" spans="1:7" x14ac:dyDescent="0.2">
      <c r="A1008" s="68" t="s">
        <v>1604</v>
      </c>
      <c r="B1008" s="39" t="s">
        <v>2126</v>
      </c>
      <c r="C1008" s="39" t="s">
        <v>2127</v>
      </c>
      <c r="D1008" s="38">
        <v>995</v>
      </c>
      <c r="E1008" s="74" t="str">
        <f t="shared" si="15"/>
        <v>A</v>
      </c>
      <c r="G1008" s="59"/>
    </row>
    <row r="1009" spans="1:7" x14ac:dyDescent="0.2">
      <c r="A1009" s="67" t="s">
        <v>1605</v>
      </c>
      <c r="B1009" s="49" t="s">
        <v>359</v>
      </c>
      <c r="C1009" s="49" t="s">
        <v>360</v>
      </c>
      <c r="D1009" s="60">
        <v>325</v>
      </c>
      <c r="E1009" s="74" t="str">
        <f t="shared" si="15"/>
        <v>A</v>
      </c>
      <c r="G1009" s="59"/>
    </row>
    <row r="1010" spans="1:7" x14ac:dyDescent="0.2">
      <c r="A1010" s="67" t="s">
        <v>1606</v>
      </c>
      <c r="B1010" s="49" t="s">
        <v>590</v>
      </c>
      <c r="C1010" s="49" t="s">
        <v>591</v>
      </c>
      <c r="D1010" s="60">
        <v>490</v>
      </c>
      <c r="E1010" s="74" t="str">
        <f t="shared" si="15"/>
        <v>A</v>
      </c>
      <c r="G1010" s="59"/>
    </row>
    <row r="1011" spans="1:7" x14ac:dyDescent="0.2">
      <c r="A1011" s="67" t="s">
        <v>1607</v>
      </c>
      <c r="B1011" s="49" t="s">
        <v>592</v>
      </c>
      <c r="C1011" s="49" t="s">
        <v>593</v>
      </c>
      <c r="D1011" s="60">
        <v>490</v>
      </c>
      <c r="E1011" s="74" t="str">
        <f t="shared" si="15"/>
        <v>A</v>
      </c>
      <c r="G1011" s="59"/>
    </row>
    <row r="1012" spans="1:7" x14ac:dyDescent="0.2">
      <c r="A1012" s="67" t="s">
        <v>1608</v>
      </c>
      <c r="B1012" s="49" t="s">
        <v>173</v>
      </c>
      <c r="C1012" s="49" t="s">
        <v>595</v>
      </c>
      <c r="D1012" s="60">
        <v>1095</v>
      </c>
      <c r="E1012" s="74" t="str">
        <f t="shared" si="15"/>
        <v>B</v>
      </c>
      <c r="G1012" s="59"/>
    </row>
    <row r="1013" spans="1:7" x14ac:dyDescent="0.2">
      <c r="A1013" s="67" t="s">
        <v>1609</v>
      </c>
      <c r="B1013" s="49" t="s">
        <v>518</v>
      </c>
      <c r="C1013" s="49" t="s">
        <v>595</v>
      </c>
      <c r="D1013" s="60">
        <v>4395</v>
      </c>
      <c r="E1013" s="74" t="str">
        <f t="shared" si="15"/>
        <v>B</v>
      </c>
      <c r="G1013" s="59"/>
    </row>
    <row r="1014" spans="1:7" x14ac:dyDescent="0.2">
      <c r="A1014" s="67" t="s">
        <v>1610</v>
      </c>
      <c r="B1014" s="49" t="s">
        <v>588</v>
      </c>
      <c r="C1014" s="49" t="s">
        <v>589</v>
      </c>
      <c r="D1014" s="60">
        <v>5495</v>
      </c>
      <c r="E1014" s="74" t="str">
        <f t="shared" si="15"/>
        <v>B</v>
      </c>
      <c r="G1014" s="59"/>
    </row>
    <row r="1015" spans="1:7" x14ac:dyDescent="0.2">
      <c r="A1015" s="67" t="s">
        <v>1611</v>
      </c>
      <c r="B1015" s="49" t="s">
        <v>1851</v>
      </c>
      <c r="C1015" s="49" t="s">
        <v>550</v>
      </c>
      <c r="D1015" s="60">
        <v>5495</v>
      </c>
      <c r="E1015" s="74" t="str">
        <f t="shared" si="15"/>
        <v>B</v>
      </c>
      <c r="G1015" s="59"/>
    </row>
    <row r="1016" spans="1:7" x14ac:dyDescent="0.2">
      <c r="A1016" s="67" t="s">
        <v>1612</v>
      </c>
      <c r="B1016" s="49" t="s">
        <v>1852</v>
      </c>
      <c r="C1016" s="49" t="s">
        <v>551</v>
      </c>
      <c r="D1016" s="60">
        <v>5495</v>
      </c>
      <c r="E1016" s="74" t="str">
        <f t="shared" si="15"/>
        <v>B</v>
      </c>
      <c r="G1016" s="59"/>
    </row>
    <row r="1017" spans="1:7" x14ac:dyDescent="0.2">
      <c r="A1017" s="67" t="s">
        <v>1613</v>
      </c>
      <c r="B1017" s="49" t="s">
        <v>1853</v>
      </c>
      <c r="C1017" s="49" t="s">
        <v>552</v>
      </c>
      <c r="D1017" s="60">
        <v>5495</v>
      </c>
      <c r="E1017" s="74" t="str">
        <f t="shared" si="15"/>
        <v>B</v>
      </c>
      <c r="G1017" s="59"/>
    </row>
    <row r="1018" spans="1:7" x14ac:dyDescent="0.2">
      <c r="A1018" s="67" t="s">
        <v>1614</v>
      </c>
      <c r="B1018" s="49" t="s">
        <v>1854</v>
      </c>
      <c r="C1018" s="49" t="s">
        <v>553</v>
      </c>
      <c r="D1018" s="60">
        <v>5495</v>
      </c>
      <c r="E1018" s="74" t="str">
        <f t="shared" si="15"/>
        <v>B</v>
      </c>
      <c r="G1018" s="59"/>
    </row>
    <row r="1019" spans="1:7" x14ac:dyDescent="0.2">
      <c r="A1019" s="67" t="s">
        <v>1615</v>
      </c>
      <c r="B1019" s="49" t="s">
        <v>1855</v>
      </c>
      <c r="C1019" s="49" t="s">
        <v>554</v>
      </c>
      <c r="D1019" s="60">
        <v>5495</v>
      </c>
      <c r="E1019" s="74" t="str">
        <f t="shared" si="15"/>
        <v>B</v>
      </c>
      <c r="G1019" s="59"/>
    </row>
    <row r="1020" spans="1:7" x14ac:dyDescent="0.2">
      <c r="A1020" s="67" t="s">
        <v>1616</v>
      </c>
      <c r="B1020" s="49" t="s">
        <v>1856</v>
      </c>
      <c r="C1020" s="49" t="s">
        <v>555</v>
      </c>
      <c r="D1020" s="60">
        <v>5495</v>
      </c>
      <c r="E1020" s="74" t="str">
        <f t="shared" si="15"/>
        <v>B</v>
      </c>
      <c r="G1020" s="59"/>
    </row>
    <row r="1021" spans="1:7" x14ac:dyDescent="0.2">
      <c r="A1021" s="67" t="s">
        <v>1617</v>
      </c>
      <c r="B1021" s="49" t="s">
        <v>1857</v>
      </c>
      <c r="C1021" s="49" t="s">
        <v>556</v>
      </c>
      <c r="D1021" s="60">
        <v>5495</v>
      </c>
      <c r="E1021" s="74" t="str">
        <f t="shared" si="15"/>
        <v>B</v>
      </c>
      <c r="G1021" s="59"/>
    </row>
    <row r="1022" spans="1:7" x14ac:dyDescent="0.2">
      <c r="A1022" s="67" t="s">
        <v>1618</v>
      </c>
      <c r="B1022" s="49" t="s">
        <v>1858</v>
      </c>
      <c r="C1022" s="49" t="s">
        <v>557</v>
      </c>
      <c r="D1022" s="60">
        <v>5495</v>
      </c>
      <c r="E1022" s="74" t="str">
        <f t="shared" si="15"/>
        <v>B</v>
      </c>
      <c r="G1022" s="59"/>
    </row>
    <row r="1023" spans="1:7" x14ac:dyDescent="0.2">
      <c r="A1023" s="67" t="s">
        <v>1619</v>
      </c>
      <c r="B1023" s="49" t="s">
        <v>363</v>
      </c>
      <c r="C1023" s="49" t="s">
        <v>364</v>
      </c>
      <c r="D1023" s="60">
        <v>1315</v>
      </c>
      <c r="E1023" s="74" t="str">
        <f t="shared" si="15"/>
        <v>B</v>
      </c>
      <c r="G1023" s="59"/>
    </row>
    <row r="1024" spans="1:7" x14ac:dyDescent="0.2">
      <c r="A1024" s="67" t="s">
        <v>1620</v>
      </c>
      <c r="B1024" s="49" t="s">
        <v>365</v>
      </c>
      <c r="C1024" s="49" t="s">
        <v>366</v>
      </c>
      <c r="D1024" s="60">
        <v>1315</v>
      </c>
      <c r="E1024" s="74" t="str">
        <f t="shared" si="15"/>
        <v>B</v>
      </c>
      <c r="G1024" s="59"/>
    </row>
    <row r="1025" spans="1:7" x14ac:dyDescent="0.2">
      <c r="A1025" s="67" t="s">
        <v>1621</v>
      </c>
      <c r="B1025" s="49" t="s">
        <v>361</v>
      </c>
      <c r="C1025" s="49" t="s">
        <v>362</v>
      </c>
      <c r="D1025" s="60">
        <v>655</v>
      </c>
      <c r="E1025" s="74" t="str">
        <f t="shared" si="15"/>
        <v>A</v>
      </c>
      <c r="G1025" s="59"/>
    </row>
    <row r="1026" spans="1:7" x14ac:dyDescent="0.2">
      <c r="A1026" s="67" t="s">
        <v>1622</v>
      </c>
      <c r="B1026" s="49" t="s">
        <v>355</v>
      </c>
      <c r="C1026" s="49" t="s">
        <v>356</v>
      </c>
      <c r="D1026" s="60">
        <v>435</v>
      </c>
      <c r="E1026" s="74" t="str">
        <f t="shared" si="15"/>
        <v>A</v>
      </c>
      <c r="G1026" s="59"/>
    </row>
    <row r="1027" spans="1:7" x14ac:dyDescent="0.2">
      <c r="A1027" s="67" t="s">
        <v>1623</v>
      </c>
      <c r="B1027" s="49" t="s">
        <v>357</v>
      </c>
      <c r="C1027" s="49" t="s">
        <v>358</v>
      </c>
      <c r="D1027" s="60">
        <v>435</v>
      </c>
      <c r="E1027" s="74" t="str">
        <f t="shared" si="15"/>
        <v>A</v>
      </c>
      <c r="G1027" s="59"/>
    </row>
    <row r="1028" spans="1:7" x14ac:dyDescent="0.2">
      <c r="A1028" s="67" t="s">
        <v>1624</v>
      </c>
      <c r="B1028" s="49" t="s">
        <v>351</v>
      </c>
      <c r="C1028" s="49" t="s">
        <v>352</v>
      </c>
      <c r="D1028" s="60">
        <v>185</v>
      </c>
      <c r="E1028" s="74" t="str">
        <f t="shared" si="15"/>
        <v>A</v>
      </c>
      <c r="G1028" s="59"/>
    </row>
    <row r="1029" spans="1:7" x14ac:dyDescent="0.2">
      <c r="A1029" s="67" t="s">
        <v>1625</v>
      </c>
      <c r="B1029" s="49" t="s">
        <v>2323</v>
      </c>
      <c r="C1029" s="49" t="s">
        <v>2323</v>
      </c>
      <c r="D1029" s="57">
        <v>16495</v>
      </c>
      <c r="E1029" s="74" t="str">
        <f t="shared" ref="E1029:E1092" si="16">VLOOKUP(D1029,$G$4:$H$7,2)</f>
        <v>C</v>
      </c>
      <c r="G1029" s="59"/>
    </row>
    <row r="1030" spans="1:7" x14ac:dyDescent="0.2">
      <c r="A1030" s="67" t="s">
        <v>1626</v>
      </c>
      <c r="B1030" s="49" t="s">
        <v>2324</v>
      </c>
      <c r="C1030" s="49" t="s">
        <v>2324</v>
      </c>
      <c r="D1030" s="57">
        <v>21995</v>
      </c>
      <c r="E1030" s="74" t="str">
        <f t="shared" si="16"/>
        <v>C</v>
      </c>
      <c r="G1030" s="59"/>
    </row>
    <row r="1031" spans="1:7" x14ac:dyDescent="0.2">
      <c r="A1031" s="67" t="s">
        <v>1627</v>
      </c>
      <c r="B1031" s="49" t="s">
        <v>2325</v>
      </c>
      <c r="C1031" s="49" t="s">
        <v>2325</v>
      </c>
      <c r="D1031" s="57">
        <v>27495</v>
      </c>
      <c r="E1031" s="74" t="str">
        <f t="shared" si="16"/>
        <v>D</v>
      </c>
      <c r="G1031" s="59"/>
    </row>
    <row r="1032" spans="1:7" x14ac:dyDescent="0.2">
      <c r="A1032" s="67" t="s">
        <v>1628</v>
      </c>
      <c r="B1032" s="49" t="s">
        <v>2128</v>
      </c>
      <c r="C1032" s="49" t="s">
        <v>2128</v>
      </c>
      <c r="D1032" s="57">
        <v>32995</v>
      </c>
      <c r="E1032" s="74" t="str">
        <f t="shared" si="16"/>
        <v>D</v>
      </c>
      <c r="G1032" s="59"/>
    </row>
    <row r="1033" spans="1:7" x14ac:dyDescent="0.2">
      <c r="A1033" s="67" t="s">
        <v>1629</v>
      </c>
      <c r="B1033" s="49" t="s">
        <v>2129</v>
      </c>
      <c r="C1033" s="49" t="s">
        <v>2129</v>
      </c>
      <c r="D1033" s="57">
        <v>20895</v>
      </c>
      <c r="E1033" s="74" t="str">
        <f t="shared" si="16"/>
        <v>C</v>
      </c>
      <c r="G1033" s="59"/>
    </row>
    <row r="1034" spans="1:7" x14ac:dyDescent="0.2">
      <c r="A1034" s="67" t="s">
        <v>1630</v>
      </c>
      <c r="B1034" s="49" t="s">
        <v>2130</v>
      </c>
      <c r="C1034" s="49" t="s">
        <v>2130</v>
      </c>
      <c r="D1034" s="57">
        <v>12195</v>
      </c>
      <c r="E1034" s="74" t="str">
        <f t="shared" si="16"/>
        <v>C</v>
      </c>
      <c r="G1034" s="59"/>
    </row>
    <row r="1035" spans="1:7" x14ac:dyDescent="0.2">
      <c r="A1035" s="67" t="s">
        <v>1631</v>
      </c>
      <c r="B1035" s="49" t="s">
        <v>2131</v>
      </c>
      <c r="C1035" s="49" t="s">
        <v>2131</v>
      </c>
      <c r="D1035" s="57">
        <v>14295</v>
      </c>
      <c r="E1035" s="74" t="str">
        <f t="shared" si="16"/>
        <v>C</v>
      </c>
      <c r="G1035" s="59"/>
    </row>
    <row r="1036" spans="1:7" x14ac:dyDescent="0.2">
      <c r="A1036" s="67" t="s">
        <v>1632</v>
      </c>
      <c r="B1036" s="49" t="s">
        <v>2132</v>
      </c>
      <c r="C1036" s="49" t="s">
        <v>2132</v>
      </c>
      <c r="D1036" s="57">
        <v>16995</v>
      </c>
      <c r="E1036" s="74" t="str">
        <f t="shared" si="16"/>
        <v>C</v>
      </c>
      <c r="G1036" s="59"/>
    </row>
    <row r="1037" spans="1:7" x14ac:dyDescent="0.2">
      <c r="A1037" s="67" t="s">
        <v>1633</v>
      </c>
      <c r="B1037" s="49" t="s">
        <v>2133</v>
      </c>
      <c r="C1037" s="49" t="s">
        <v>2133</v>
      </c>
      <c r="D1037" s="57">
        <v>21995</v>
      </c>
      <c r="E1037" s="74" t="str">
        <f t="shared" si="16"/>
        <v>C</v>
      </c>
      <c r="G1037" s="59"/>
    </row>
    <row r="1038" spans="1:7" x14ac:dyDescent="0.2">
      <c r="A1038" s="67" t="s">
        <v>1634</v>
      </c>
      <c r="B1038" s="49" t="s">
        <v>2134</v>
      </c>
      <c r="C1038" s="49" t="s">
        <v>2134</v>
      </c>
      <c r="D1038" s="57">
        <v>24995</v>
      </c>
      <c r="E1038" s="74" t="str">
        <f t="shared" si="16"/>
        <v>C</v>
      </c>
      <c r="G1038" s="59"/>
    </row>
    <row r="1039" spans="1:7" x14ac:dyDescent="0.2">
      <c r="A1039" s="67" t="s">
        <v>1635</v>
      </c>
      <c r="B1039" s="49" t="s">
        <v>2135</v>
      </c>
      <c r="C1039" s="49" t="s">
        <v>2135</v>
      </c>
      <c r="D1039" s="57">
        <v>3995</v>
      </c>
      <c r="E1039" s="74" t="str">
        <f t="shared" si="16"/>
        <v>B</v>
      </c>
      <c r="G1039" s="59"/>
    </row>
    <row r="1040" spans="1:7" x14ac:dyDescent="0.2">
      <c r="A1040" s="67" t="s">
        <v>1636</v>
      </c>
      <c r="B1040" s="49" t="s">
        <v>2136</v>
      </c>
      <c r="C1040" s="49" t="s">
        <v>2136</v>
      </c>
      <c r="D1040" s="57">
        <v>2195</v>
      </c>
      <c r="E1040" s="74" t="str">
        <f t="shared" si="16"/>
        <v>B</v>
      </c>
      <c r="G1040" s="59"/>
    </row>
    <row r="1041" spans="1:7" x14ac:dyDescent="0.2">
      <c r="A1041" s="67" t="s">
        <v>1637</v>
      </c>
      <c r="B1041" s="49" t="s">
        <v>2137</v>
      </c>
      <c r="C1041" s="49" t="s">
        <v>2137</v>
      </c>
      <c r="D1041" s="57">
        <v>20895</v>
      </c>
      <c r="E1041" s="74" t="str">
        <f t="shared" si="16"/>
        <v>C</v>
      </c>
      <c r="G1041" s="59"/>
    </row>
    <row r="1042" spans="1:7" x14ac:dyDescent="0.2">
      <c r="A1042" s="67" t="s">
        <v>1638</v>
      </c>
      <c r="B1042" s="49" t="s">
        <v>2138</v>
      </c>
      <c r="C1042" s="49" t="s">
        <v>2138</v>
      </c>
      <c r="D1042" s="57">
        <v>13195</v>
      </c>
      <c r="E1042" s="74" t="str">
        <f t="shared" si="16"/>
        <v>C</v>
      </c>
      <c r="G1042" s="59"/>
    </row>
    <row r="1043" spans="1:7" x14ac:dyDescent="0.2">
      <c r="A1043" s="67" t="s">
        <v>1639</v>
      </c>
      <c r="B1043" s="49" t="s">
        <v>2326</v>
      </c>
      <c r="C1043" s="49" t="s">
        <v>2327</v>
      </c>
      <c r="D1043" s="57">
        <v>8795</v>
      </c>
      <c r="E1043" s="74" t="str">
        <f t="shared" si="16"/>
        <v>B</v>
      </c>
      <c r="G1043" s="59"/>
    </row>
    <row r="1044" spans="1:7" x14ac:dyDescent="0.2">
      <c r="A1044" s="67" t="s">
        <v>1640</v>
      </c>
      <c r="B1044" s="49" t="s">
        <v>2328</v>
      </c>
      <c r="C1044" s="49" t="s">
        <v>2329</v>
      </c>
      <c r="D1044" s="57">
        <v>6045</v>
      </c>
      <c r="E1044" s="74" t="str">
        <f t="shared" si="16"/>
        <v>B</v>
      </c>
      <c r="G1044" s="59"/>
    </row>
    <row r="1045" spans="1:7" x14ac:dyDescent="0.2">
      <c r="A1045" s="67" t="s">
        <v>1641</v>
      </c>
      <c r="B1045" s="49" t="s">
        <v>2330</v>
      </c>
      <c r="C1045" s="49" t="s">
        <v>2331</v>
      </c>
      <c r="D1045" s="57">
        <v>10995</v>
      </c>
      <c r="E1045" s="74" t="str">
        <f t="shared" si="16"/>
        <v>C</v>
      </c>
      <c r="G1045" s="59"/>
    </row>
    <row r="1046" spans="1:7" x14ac:dyDescent="0.2">
      <c r="A1046" s="67" t="s">
        <v>1642</v>
      </c>
      <c r="B1046" s="49" t="s">
        <v>2332</v>
      </c>
      <c r="C1046" s="49" t="s">
        <v>2332</v>
      </c>
      <c r="D1046" s="57">
        <v>5495</v>
      </c>
      <c r="E1046" s="74" t="str">
        <f t="shared" si="16"/>
        <v>B</v>
      </c>
      <c r="G1046" s="59"/>
    </row>
    <row r="1047" spans="1:7" x14ac:dyDescent="0.2">
      <c r="A1047" s="67" t="s">
        <v>1643</v>
      </c>
      <c r="B1047" s="49" t="s">
        <v>2333</v>
      </c>
      <c r="C1047" s="49" t="s">
        <v>2333</v>
      </c>
      <c r="D1047" s="57">
        <v>7695</v>
      </c>
      <c r="E1047" s="74" t="str">
        <f t="shared" si="16"/>
        <v>B</v>
      </c>
      <c r="G1047" s="59"/>
    </row>
    <row r="1048" spans="1:7" x14ac:dyDescent="0.2">
      <c r="A1048" s="67" t="s">
        <v>1644</v>
      </c>
      <c r="B1048" s="49" t="s">
        <v>2310</v>
      </c>
      <c r="C1048" s="49" t="s">
        <v>329</v>
      </c>
      <c r="D1048" s="57">
        <v>14295</v>
      </c>
      <c r="E1048" s="74" t="str">
        <f t="shared" si="16"/>
        <v>C</v>
      </c>
      <c r="G1048" s="59"/>
    </row>
    <row r="1049" spans="1:7" x14ac:dyDescent="0.2">
      <c r="A1049" s="67" t="s">
        <v>1645</v>
      </c>
      <c r="B1049" s="49" t="s">
        <v>34</v>
      </c>
      <c r="C1049" s="49" t="s">
        <v>34</v>
      </c>
      <c r="D1049" s="57">
        <v>13195</v>
      </c>
      <c r="E1049" s="74" t="str">
        <f t="shared" si="16"/>
        <v>C</v>
      </c>
      <c r="G1049" s="59"/>
    </row>
    <row r="1050" spans="1:7" x14ac:dyDescent="0.2">
      <c r="A1050" s="67" t="s">
        <v>1646</v>
      </c>
      <c r="B1050" s="49" t="s">
        <v>2334</v>
      </c>
      <c r="C1050" s="49" t="s">
        <v>2334</v>
      </c>
      <c r="D1050" s="57">
        <v>7695</v>
      </c>
      <c r="E1050" s="74" t="str">
        <f t="shared" si="16"/>
        <v>B</v>
      </c>
      <c r="G1050" s="59"/>
    </row>
    <row r="1051" spans="1:7" x14ac:dyDescent="0.2">
      <c r="A1051" s="67" t="s">
        <v>1647</v>
      </c>
      <c r="B1051" s="49" t="s">
        <v>334</v>
      </c>
      <c r="C1051" s="49" t="s">
        <v>335</v>
      </c>
      <c r="D1051" s="57">
        <v>7695</v>
      </c>
      <c r="E1051" s="74" t="str">
        <f t="shared" si="16"/>
        <v>B</v>
      </c>
      <c r="G1051" s="59"/>
    </row>
    <row r="1052" spans="1:7" x14ac:dyDescent="0.2">
      <c r="A1052" s="67" t="s">
        <v>1648</v>
      </c>
      <c r="B1052" s="49" t="s">
        <v>336</v>
      </c>
      <c r="C1052" s="49" t="s">
        <v>337</v>
      </c>
      <c r="D1052" s="57">
        <v>10995</v>
      </c>
      <c r="E1052" s="74" t="str">
        <f t="shared" si="16"/>
        <v>C</v>
      </c>
      <c r="G1052" s="59"/>
    </row>
    <row r="1053" spans="1:7" x14ac:dyDescent="0.2">
      <c r="A1053" s="67" t="s">
        <v>1649</v>
      </c>
      <c r="B1053" s="49" t="s">
        <v>536</v>
      </c>
      <c r="C1053" s="49" t="s">
        <v>537</v>
      </c>
      <c r="D1053" s="57">
        <v>2745</v>
      </c>
      <c r="E1053" s="74" t="str">
        <f t="shared" si="16"/>
        <v>B</v>
      </c>
      <c r="G1053" s="59"/>
    </row>
    <row r="1054" spans="1:7" x14ac:dyDescent="0.2">
      <c r="A1054" s="67" t="s">
        <v>1650</v>
      </c>
      <c r="B1054" s="49" t="s">
        <v>538</v>
      </c>
      <c r="C1054" s="49" t="s">
        <v>539</v>
      </c>
      <c r="D1054" s="57">
        <v>3845</v>
      </c>
      <c r="E1054" s="74" t="str">
        <f t="shared" si="16"/>
        <v>B</v>
      </c>
      <c r="G1054" s="59"/>
    </row>
    <row r="1055" spans="1:7" x14ac:dyDescent="0.2">
      <c r="A1055" s="67" t="s">
        <v>1651</v>
      </c>
      <c r="B1055" s="49" t="s">
        <v>542</v>
      </c>
      <c r="C1055" s="49" t="s">
        <v>543</v>
      </c>
      <c r="D1055" s="57">
        <v>10995</v>
      </c>
      <c r="E1055" s="74" t="str">
        <f t="shared" si="16"/>
        <v>C</v>
      </c>
      <c r="G1055" s="59"/>
    </row>
    <row r="1056" spans="1:7" x14ac:dyDescent="0.2">
      <c r="A1056" s="67" t="s">
        <v>1652</v>
      </c>
      <c r="B1056" s="49" t="s">
        <v>519</v>
      </c>
      <c r="C1056" s="49" t="s">
        <v>520</v>
      </c>
      <c r="D1056" s="57">
        <v>14295</v>
      </c>
      <c r="E1056" s="74" t="str">
        <f t="shared" si="16"/>
        <v>C</v>
      </c>
      <c r="G1056" s="59"/>
    </row>
    <row r="1057" spans="1:7" x14ac:dyDescent="0.2">
      <c r="A1057" s="67" t="s">
        <v>1653</v>
      </c>
      <c r="B1057" s="49" t="s">
        <v>540</v>
      </c>
      <c r="C1057" s="49" t="s">
        <v>541</v>
      </c>
      <c r="D1057" s="57">
        <v>5495</v>
      </c>
      <c r="E1057" s="74" t="str">
        <f t="shared" si="16"/>
        <v>B</v>
      </c>
      <c r="G1057" s="59"/>
    </row>
    <row r="1058" spans="1:7" x14ac:dyDescent="0.2">
      <c r="A1058" s="67" t="s">
        <v>1654</v>
      </c>
      <c r="B1058" s="49" t="s">
        <v>535</v>
      </c>
      <c r="C1058" s="49" t="s">
        <v>535</v>
      </c>
      <c r="D1058" s="57">
        <v>1095</v>
      </c>
      <c r="E1058" s="74" t="str">
        <f t="shared" si="16"/>
        <v>B</v>
      </c>
      <c r="G1058" s="59"/>
    </row>
    <row r="1059" spans="1:7" x14ac:dyDescent="0.2">
      <c r="A1059" s="67" t="s">
        <v>1655</v>
      </c>
      <c r="B1059" s="49" t="s">
        <v>205</v>
      </c>
      <c r="C1059" s="49" t="s">
        <v>206</v>
      </c>
      <c r="D1059" s="57">
        <v>2745</v>
      </c>
      <c r="E1059" s="74" t="str">
        <f t="shared" si="16"/>
        <v>B</v>
      </c>
      <c r="G1059" s="59"/>
    </row>
    <row r="1060" spans="1:7" x14ac:dyDescent="0.2">
      <c r="A1060" s="67" t="s">
        <v>1656</v>
      </c>
      <c r="B1060" s="49" t="s">
        <v>207</v>
      </c>
      <c r="C1060" s="49" t="s">
        <v>208</v>
      </c>
      <c r="D1060" s="57">
        <v>5495</v>
      </c>
      <c r="E1060" s="74" t="str">
        <f t="shared" si="16"/>
        <v>B</v>
      </c>
      <c r="G1060" s="59"/>
    </row>
    <row r="1061" spans="1:7" x14ac:dyDescent="0.2">
      <c r="A1061" s="67" t="s">
        <v>1657</v>
      </c>
      <c r="B1061" s="49" t="s">
        <v>590</v>
      </c>
      <c r="C1061" s="49" t="s">
        <v>174</v>
      </c>
      <c r="D1061" s="57">
        <v>490</v>
      </c>
      <c r="E1061" s="74" t="str">
        <f t="shared" si="16"/>
        <v>A</v>
      </c>
      <c r="G1061" s="59"/>
    </row>
    <row r="1062" spans="1:7" x14ac:dyDescent="0.2">
      <c r="A1062" s="67" t="s">
        <v>1658</v>
      </c>
      <c r="B1062" s="49" t="s">
        <v>592</v>
      </c>
      <c r="C1062" s="49" t="s">
        <v>175</v>
      </c>
      <c r="D1062" s="57">
        <v>490</v>
      </c>
      <c r="E1062" s="74" t="str">
        <f t="shared" si="16"/>
        <v>A</v>
      </c>
      <c r="G1062" s="59"/>
    </row>
    <row r="1063" spans="1:7" x14ac:dyDescent="0.2">
      <c r="A1063" s="67" t="s">
        <v>1659</v>
      </c>
      <c r="B1063" s="49" t="s">
        <v>173</v>
      </c>
      <c r="C1063" s="49" t="s">
        <v>176</v>
      </c>
      <c r="D1063" s="57">
        <v>1095</v>
      </c>
      <c r="E1063" s="74" t="str">
        <f t="shared" si="16"/>
        <v>B</v>
      </c>
      <c r="G1063" s="59"/>
    </row>
    <row r="1064" spans="1:7" x14ac:dyDescent="0.2">
      <c r="A1064" s="67" t="s">
        <v>1660</v>
      </c>
      <c r="B1064" s="49" t="s">
        <v>518</v>
      </c>
      <c r="C1064" s="49" t="s">
        <v>176</v>
      </c>
      <c r="D1064" s="57">
        <v>4395</v>
      </c>
      <c r="E1064" s="74" t="str">
        <f t="shared" si="16"/>
        <v>B</v>
      </c>
      <c r="G1064" s="59"/>
    </row>
    <row r="1065" spans="1:7" x14ac:dyDescent="0.2">
      <c r="A1065" s="67" t="s">
        <v>1661</v>
      </c>
      <c r="B1065" s="49" t="s">
        <v>359</v>
      </c>
      <c r="C1065" s="49" t="s">
        <v>360</v>
      </c>
      <c r="D1065" s="57">
        <v>325</v>
      </c>
      <c r="E1065" s="74" t="str">
        <f t="shared" si="16"/>
        <v>A</v>
      </c>
      <c r="G1065" s="59"/>
    </row>
    <row r="1066" spans="1:7" x14ac:dyDescent="0.2">
      <c r="A1066" s="68" t="s">
        <v>1662</v>
      </c>
      <c r="B1066" s="39" t="s">
        <v>2139</v>
      </c>
      <c r="C1066" s="39" t="s">
        <v>2140</v>
      </c>
      <c r="D1066" s="38">
        <v>13195</v>
      </c>
      <c r="E1066" s="74" t="str">
        <f t="shared" si="16"/>
        <v>C</v>
      </c>
      <c r="G1066" s="59"/>
    </row>
    <row r="1067" spans="1:7" x14ac:dyDescent="0.2">
      <c r="A1067" s="71" t="s">
        <v>1663</v>
      </c>
      <c r="B1067" s="63" t="s">
        <v>2141</v>
      </c>
      <c r="C1067" s="63" t="s">
        <v>2141</v>
      </c>
      <c r="D1067" s="57">
        <v>17595</v>
      </c>
      <c r="E1067" s="74" t="str">
        <f t="shared" si="16"/>
        <v>C</v>
      </c>
      <c r="G1067" s="59"/>
    </row>
    <row r="1068" spans="1:7" x14ac:dyDescent="0.2">
      <c r="A1068" s="68" t="s">
        <v>1664</v>
      </c>
      <c r="B1068" s="39" t="s">
        <v>2142</v>
      </c>
      <c r="C1068" s="39" t="s">
        <v>2143</v>
      </c>
      <c r="D1068" s="38">
        <v>13495</v>
      </c>
      <c r="E1068" s="74" t="str">
        <f t="shared" si="16"/>
        <v>C</v>
      </c>
      <c r="G1068" s="59"/>
    </row>
    <row r="1069" spans="1:7" x14ac:dyDescent="0.2">
      <c r="A1069" s="71" t="s">
        <v>1665</v>
      </c>
      <c r="B1069" s="63" t="s">
        <v>2144</v>
      </c>
      <c r="C1069" s="63" t="s">
        <v>2144</v>
      </c>
      <c r="D1069" s="57">
        <v>17995</v>
      </c>
      <c r="E1069" s="74" t="str">
        <f t="shared" si="16"/>
        <v>C</v>
      </c>
      <c r="G1069" s="59"/>
    </row>
    <row r="1070" spans="1:7" x14ac:dyDescent="0.2">
      <c r="A1070" s="68" t="s">
        <v>1666</v>
      </c>
      <c r="B1070" s="39" t="s">
        <v>2145</v>
      </c>
      <c r="C1070" s="39" t="s">
        <v>2146</v>
      </c>
      <c r="D1070" s="38">
        <v>16495</v>
      </c>
      <c r="E1070" s="74" t="str">
        <f t="shared" si="16"/>
        <v>C</v>
      </c>
      <c r="G1070" s="59"/>
    </row>
    <row r="1071" spans="1:7" x14ac:dyDescent="0.2">
      <c r="A1071" s="71" t="s">
        <v>1667</v>
      </c>
      <c r="B1071" s="63" t="s">
        <v>2147</v>
      </c>
      <c r="C1071" s="63" t="s">
        <v>2147</v>
      </c>
      <c r="D1071" s="57">
        <v>20895</v>
      </c>
      <c r="E1071" s="74" t="str">
        <f t="shared" si="16"/>
        <v>C</v>
      </c>
      <c r="G1071" s="59"/>
    </row>
    <row r="1072" spans="1:7" x14ac:dyDescent="0.2">
      <c r="A1072" s="68" t="s">
        <v>1668</v>
      </c>
      <c r="B1072" s="39" t="s">
        <v>2148</v>
      </c>
      <c r="C1072" s="39" t="s">
        <v>2149</v>
      </c>
      <c r="D1072" s="38">
        <v>16795</v>
      </c>
      <c r="E1072" s="74" t="str">
        <f t="shared" si="16"/>
        <v>C</v>
      </c>
      <c r="G1072" s="59"/>
    </row>
    <row r="1073" spans="1:7" x14ac:dyDescent="0.2">
      <c r="A1073" s="71" t="s">
        <v>1669</v>
      </c>
      <c r="B1073" s="63" t="s">
        <v>2150</v>
      </c>
      <c r="C1073" s="63" t="s">
        <v>2150</v>
      </c>
      <c r="D1073" s="57">
        <v>21295</v>
      </c>
      <c r="E1073" s="74" t="str">
        <f t="shared" si="16"/>
        <v>C</v>
      </c>
      <c r="G1073" s="59"/>
    </row>
    <row r="1074" spans="1:7" x14ac:dyDescent="0.2">
      <c r="A1074" s="68" t="s">
        <v>1670</v>
      </c>
      <c r="B1074" s="39" t="s">
        <v>2151</v>
      </c>
      <c r="C1074" s="39" t="s">
        <v>2151</v>
      </c>
      <c r="D1074" s="38">
        <v>4395</v>
      </c>
      <c r="E1074" s="74" t="str">
        <f t="shared" si="16"/>
        <v>B</v>
      </c>
      <c r="G1074" s="59"/>
    </row>
    <row r="1075" spans="1:7" x14ac:dyDescent="0.2">
      <c r="A1075" s="67" t="s">
        <v>1671</v>
      </c>
      <c r="B1075" s="49" t="s">
        <v>2152</v>
      </c>
      <c r="C1075" s="49" t="s">
        <v>2152</v>
      </c>
      <c r="D1075" s="57">
        <v>1095</v>
      </c>
      <c r="E1075" s="74" t="str">
        <f t="shared" si="16"/>
        <v>B</v>
      </c>
      <c r="G1075" s="59"/>
    </row>
    <row r="1076" spans="1:7" x14ac:dyDescent="0.2">
      <c r="A1076" s="67" t="s">
        <v>1672</v>
      </c>
      <c r="B1076" s="49" t="s">
        <v>2153</v>
      </c>
      <c r="C1076" s="49" t="s">
        <v>2153</v>
      </c>
      <c r="D1076" s="57">
        <v>1425</v>
      </c>
      <c r="E1076" s="74" t="str">
        <f t="shared" si="16"/>
        <v>B</v>
      </c>
      <c r="G1076" s="59"/>
    </row>
    <row r="1077" spans="1:7" x14ac:dyDescent="0.2">
      <c r="A1077" s="67" t="s">
        <v>1673</v>
      </c>
      <c r="B1077" s="49" t="s">
        <v>35</v>
      </c>
      <c r="C1077" s="49" t="s">
        <v>2154</v>
      </c>
      <c r="D1077" s="57">
        <v>9995</v>
      </c>
      <c r="E1077" s="74" t="str">
        <f t="shared" si="16"/>
        <v>B</v>
      </c>
      <c r="G1077" s="59"/>
    </row>
    <row r="1078" spans="1:7" x14ac:dyDescent="0.2">
      <c r="A1078" s="67" t="s">
        <v>1674</v>
      </c>
      <c r="B1078" s="49" t="s">
        <v>36</v>
      </c>
      <c r="C1078" s="49" t="s">
        <v>2155</v>
      </c>
      <c r="D1078" s="57">
        <v>16495</v>
      </c>
      <c r="E1078" s="74" t="str">
        <f t="shared" si="16"/>
        <v>C</v>
      </c>
      <c r="G1078" s="59"/>
    </row>
    <row r="1079" spans="1:7" x14ac:dyDescent="0.2">
      <c r="A1079" s="67" t="s">
        <v>1675</v>
      </c>
      <c r="B1079" s="49" t="s">
        <v>37</v>
      </c>
      <c r="C1079" s="49" t="s">
        <v>2156</v>
      </c>
      <c r="D1079" s="57">
        <v>10295</v>
      </c>
      <c r="E1079" s="74" t="str">
        <f t="shared" si="16"/>
        <v>C</v>
      </c>
      <c r="G1079" s="59"/>
    </row>
    <row r="1080" spans="1:7" x14ac:dyDescent="0.2">
      <c r="A1080" s="67" t="s">
        <v>1676</v>
      </c>
      <c r="B1080" s="49" t="s">
        <v>38</v>
      </c>
      <c r="C1080" s="49" t="s">
        <v>2157</v>
      </c>
      <c r="D1080" s="57">
        <v>16895</v>
      </c>
      <c r="E1080" s="74" t="str">
        <f t="shared" si="16"/>
        <v>C</v>
      </c>
      <c r="G1080" s="59"/>
    </row>
    <row r="1081" spans="1:7" x14ac:dyDescent="0.2">
      <c r="A1081" s="67" t="s">
        <v>1677</v>
      </c>
      <c r="B1081" s="49" t="s">
        <v>39</v>
      </c>
      <c r="C1081" s="49" t="s">
        <v>40</v>
      </c>
      <c r="D1081" s="57">
        <v>11995</v>
      </c>
      <c r="E1081" s="74" t="str">
        <f t="shared" si="16"/>
        <v>C</v>
      </c>
      <c r="G1081" s="59"/>
    </row>
    <row r="1082" spans="1:7" x14ac:dyDescent="0.2">
      <c r="A1082" s="67" t="s">
        <v>1678</v>
      </c>
      <c r="B1082" s="49" t="s">
        <v>41</v>
      </c>
      <c r="C1082" s="49" t="s">
        <v>42</v>
      </c>
      <c r="D1082" s="57">
        <v>11995</v>
      </c>
      <c r="E1082" s="74" t="str">
        <f t="shared" si="16"/>
        <v>C</v>
      </c>
      <c r="G1082" s="59"/>
    </row>
    <row r="1083" spans="1:7" x14ac:dyDescent="0.2">
      <c r="A1083" s="67" t="s">
        <v>1679</v>
      </c>
      <c r="B1083" s="49" t="s">
        <v>43</v>
      </c>
      <c r="C1083" s="49" t="s">
        <v>44</v>
      </c>
      <c r="D1083" s="57">
        <v>1920</v>
      </c>
      <c r="E1083" s="74" t="str">
        <f t="shared" si="16"/>
        <v>B</v>
      </c>
      <c r="G1083" s="59"/>
    </row>
    <row r="1084" spans="1:7" x14ac:dyDescent="0.2">
      <c r="A1084" s="67" t="s">
        <v>1680</v>
      </c>
      <c r="B1084" s="49" t="s">
        <v>45</v>
      </c>
      <c r="C1084" s="49" t="s">
        <v>46</v>
      </c>
      <c r="D1084" s="57">
        <v>3795</v>
      </c>
      <c r="E1084" s="74" t="str">
        <f t="shared" si="16"/>
        <v>B</v>
      </c>
      <c r="G1084" s="59"/>
    </row>
    <row r="1085" spans="1:7" x14ac:dyDescent="0.2">
      <c r="A1085" s="67" t="s">
        <v>1681</v>
      </c>
      <c r="B1085" s="49" t="s">
        <v>47</v>
      </c>
      <c r="C1085" s="49" t="s">
        <v>48</v>
      </c>
      <c r="D1085" s="57">
        <v>2195</v>
      </c>
      <c r="E1085" s="74" t="str">
        <f t="shared" si="16"/>
        <v>B</v>
      </c>
      <c r="G1085" s="59"/>
    </row>
    <row r="1086" spans="1:7" x14ac:dyDescent="0.2">
      <c r="A1086" s="67" t="s">
        <v>1682</v>
      </c>
      <c r="B1086" s="49" t="s">
        <v>49</v>
      </c>
      <c r="C1086" s="49" t="s">
        <v>50</v>
      </c>
      <c r="D1086" s="57">
        <v>4095</v>
      </c>
      <c r="E1086" s="74" t="str">
        <f t="shared" si="16"/>
        <v>B</v>
      </c>
      <c r="G1086" s="59"/>
    </row>
    <row r="1087" spans="1:7" x14ac:dyDescent="0.2">
      <c r="A1087" s="67" t="s">
        <v>1683</v>
      </c>
      <c r="B1087" s="49" t="s">
        <v>2158</v>
      </c>
      <c r="C1087" s="49" t="s">
        <v>51</v>
      </c>
      <c r="D1087" s="57">
        <v>1095</v>
      </c>
      <c r="E1087" s="74" t="str">
        <f t="shared" si="16"/>
        <v>B</v>
      </c>
      <c r="G1087" s="59"/>
    </row>
    <row r="1088" spans="1:7" x14ac:dyDescent="0.2">
      <c r="A1088" s="67" t="s">
        <v>1684</v>
      </c>
      <c r="B1088" s="49" t="s">
        <v>2159</v>
      </c>
      <c r="C1088" s="49" t="s">
        <v>51</v>
      </c>
      <c r="D1088" s="57">
        <v>1195</v>
      </c>
      <c r="E1088" s="74" t="str">
        <f t="shared" si="16"/>
        <v>B</v>
      </c>
      <c r="G1088" s="59"/>
    </row>
    <row r="1089" spans="1:7" x14ac:dyDescent="0.2">
      <c r="A1089" s="67" t="s">
        <v>1685</v>
      </c>
      <c r="B1089" s="49" t="s">
        <v>2160</v>
      </c>
      <c r="C1089" s="49" t="s">
        <v>52</v>
      </c>
      <c r="D1089" s="57">
        <v>1425</v>
      </c>
      <c r="E1089" s="74" t="str">
        <f t="shared" si="16"/>
        <v>B</v>
      </c>
      <c r="G1089" s="59"/>
    </row>
    <row r="1090" spans="1:7" x14ac:dyDescent="0.2">
      <c r="A1090" s="68" t="s">
        <v>1686</v>
      </c>
      <c r="B1090" s="39" t="s">
        <v>2161</v>
      </c>
      <c r="C1090" s="39" t="s">
        <v>2162</v>
      </c>
      <c r="D1090" s="38">
        <v>43995</v>
      </c>
      <c r="E1090" s="74" t="str">
        <f t="shared" si="16"/>
        <v>D</v>
      </c>
      <c r="G1090" s="59"/>
    </row>
    <row r="1091" spans="1:7" x14ac:dyDescent="0.2">
      <c r="A1091" s="68" t="s">
        <v>1687</v>
      </c>
      <c r="B1091" s="39" t="s">
        <v>2163</v>
      </c>
      <c r="C1091" s="39" t="s">
        <v>2162</v>
      </c>
      <c r="D1091" s="38">
        <v>47495</v>
      </c>
      <c r="E1091" s="74" t="str">
        <f t="shared" si="16"/>
        <v>D</v>
      </c>
      <c r="G1091" s="59"/>
    </row>
    <row r="1092" spans="1:7" x14ac:dyDescent="0.2">
      <c r="A1092" s="68" t="s">
        <v>1688</v>
      </c>
      <c r="B1092" s="39" t="s">
        <v>2164</v>
      </c>
      <c r="C1092" s="39" t="s">
        <v>2165</v>
      </c>
      <c r="D1092" s="38">
        <v>43995</v>
      </c>
      <c r="E1092" s="74" t="str">
        <f t="shared" si="16"/>
        <v>D</v>
      </c>
      <c r="G1092" s="59"/>
    </row>
    <row r="1093" spans="1:7" x14ac:dyDescent="0.2">
      <c r="A1093" s="68" t="s">
        <v>1689</v>
      </c>
      <c r="B1093" s="39" t="s">
        <v>2166</v>
      </c>
      <c r="C1093" s="39" t="s">
        <v>2165</v>
      </c>
      <c r="D1093" s="38">
        <v>47495</v>
      </c>
      <c r="E1093" s="74" t="str">
        <f t="shared" ref="E1093:E1156" si="17">VLOOKUP(D1093,$G$4:$H$7,2)</f>
        <v>D</v>
      </c>
      <c r="G1093" s="59"/>
    </row>
    <row r="1094" spans="1:7" x14ac:dyDescent="0.2">
      <c r="A1094" s="67" t="s">
        <v>1690</v>
      </c>
      <c r="B1094" s="49" t="s">
        <v>53</v>
      </c>
      <c r="C1094" s="49" t="s">
        <v>2167</v>
      </c>
      <c r="D1094" s="57">
        <v>41795</v>
      </c>
      <c r="E1094" s="74" t="str">
        <f t="shared" si="17"/>
        <v>D</v>
      </c>
      <c r="G1094" s="59"/>
    </row>
    <row r="1095" spans="1:7" x14ac:dyDescent="0.2">
      <c r="A1095" s="67" t="s">
        <v>1691</v>
      </c>
      <c r="B1095" s="49" t="s">
        <v>54</v>
      </c>
      <c r="C1095" s="49" t="s">
        <v>2168</v>
      </c>
      <c r="D1095" s="57">
        <v>44595</v>
      </c>
      <c r="E1095" s="74" t="str">
        <f t="shared" si="17"/>
        <v>D</v>
      </c>
      <c r="G1095" s="59"/>
    </row>
    <row r="1096" spans="1:7" x14ac:dyDescent="0.2">
      <c r="A1096" s="68" t="s">
        <v>1692</v>
      </c>
      <c r="B1096" s="39" t="s">
        <v>2169</v>
      </c>
      <c r="C1096" s="39" t="s">
        <v>2169</v>
      </c>
      <c r="D1096" s="57">
        <v>38495</v>
      </c>
      <c r="E1096" s="74" t="str">
        <f t="shared" si="17"/>
        <v>D</v>
      </c>
      <c r="G1096" s="59"/>
    </row>
    <row r="1097" spans="1:7" x14ac:dyDescent="0.2">
      <c r="A1097" s="68" t="s">
        <v>1693</v>
      </c>
      <c r="B1097" s="39" t="s">
        <v>2170</v>
      </c>
      <c r="C1097" s="39" t="s">
        <v>2170</v>
      </c>
      <c r="D1097" s="57">
        <v>41295</v>
      </c>
      <c r="E1097" s="74" t="str">
        <f t="shared" si="17"/>
        <v>D</v>
      </c>
      <c r="G1097" s="59"/>
    </row>
    <row r="1098" spans="1:7" x14ac:dyDescent="0.2">
      <c r="A1098" s="68" t="s">
        <v>1694</v>
      </c>
      <c r="B1098" s="39" t="s">
        <v>2171</v>
      </c>
      <c r="C1098" s="39" t="s">
        <v>2171</v>
      </c>
      <c r="D1098" s="57">
        <v>38495</v>
      </c>
      <c r="E1098" s="74" t="str">
        <f t="shared" si="17"/>
        <v>D</v>
      </c>
      <c r="G1098" s="59"/>
    </row>
    <row r="1099" spans="1:7" x14ac:dyDescent="0.2">
      <c r="A1099" s="68" t="s">
        <v>1695</v>
      </c>
      <c r="B1099" s="39" t="s">
        <v>2172</v>
      </c>
      <c r="C1099" s="39" t="s">
        <v>2172</v>
      </c>
      <c r="D1099" s="57">
        <v>41295</v>
      </c>
      <c r="E1099" s="74" t="str">
        <f t="shared" si="17"/>
        <v>D</v>
      </c>
      <c r="G1099" s="59"/>
    </row>
    <row r="1100" spans="1:7" x14ac:dyDescent="0.2">
      <c r="A1100" s="68" t="s">
        <v>1696</v>
      </c>
      <c r="B1100" s="39" t="s">
        <v>2173</v>
      </c>
      <c r="C1100" s="39" t="s">
        <v>2173</v>
      </c>
      <c r="D1100" s="57">
        <v>42895</v>
      </c>
      <c r="E1100" s="74" t="str">
        <f t="shared" si="17"/>
        <v>D</v>
      </c>
      <c r="G1100" s="59"/>
    </row>
    <row r="1101" spans="1:7" x14ac:dyDescent="0.2">
      <c r="A1101" s="68" t="s">
        <v>1697</v>
      </c>
      <c r="B1101" s="39" t="s">
        <v>2174</v>
      </c>
      <c r="C1101" s="39" t="s">
        <v>2174</v>
      </c>
      <c r="D1101" s="57">
        <v>45695</v>
      </c>
      <c r="E1101" s="74" t="str">
        <f t="shared" si="17"/>
        <v>D</v>
      </c>
      <c r="G1101" s="59"/>
    </row>
    <row r="1102" spans="1:7" x14ac:dyDescent="0.2">
      <c r="A1102" s="67" t="s">
        <v>1698</v>
      </c>
      <c r="B1102" s="49" t="s">
        <v>2175</v>
      </c>
      <c r="C1102" s="49" t="s">
        <v>2175</v>
      </c>
      <c r="D1102" s="57">
        <v>32995</v>
      </c>
      <c r="E1102" s="74" t="str">
        <f t="shared" si="17"/>
        <v>D</v>
      </c>
      <c r="G1102" s="59"/>
    </row>
    <row r="1103" spans="1:7" x14ac:dyDescent="0.2">
      <c r="A1103" s="68" t="s">
        <v>1699</v>
      </c>
      <c r="B1103" s="39" t="s">
        <v>2176</v>
      </c>
      <c r="C1103" s="39" t="s">
        <v>2176</v>
      </c>
      <c r="D1103" s="57">
        <v>35795</v>
      </c>
      <c r="E1103" s="74" t="str">
        <f t="shared" si="17"/>
        <v>D</v>
      </c>
      <c r="G1103" s="59"/>
    </row>
    <row r="1104" spans="1:7" x14ac:dyDescent="0.2">
      <c r="A1104" s="67" t="s">
        <v>1700</v>
      </c>
      <c r="B1104" s="49" t="s">
        <v>2335</v>
      </c>
      <c r="C1104" s="49" t="s">
        <v>2177</v>
      </c>
      <c r="D1104" s="57">
        <v>32995</v>
      </c>
      <c r="E1104" s="74" t="str">
        <f t="shared" si="17"/>
        <v>D</v>
      </c>
      <c r="G1104" s="59"/>
    </row>
    <row r="1105" spans="1:7" x14ac:dyDescent="0.2">
      <c r="A1105" s="67" t="s">
        <v>1701</v>
      </c>
      <c r="B1105" s="49" t="s">
        <v>2336</v>
      </c>
      <c r="C1105" s="49" t="s">
        <v>2178</v>
      </c>
      <c r="D1105" s="57">
        <v>35795</v>
      </c>
      <c r="E1105" s="74" t="str">
        <f t="shared" si="17"/>
        <v>D</v>
      </c>
      <c r="G1105" s="59"/>
    </row>
    <row r="1106" spans="1:7" x14ac:dyDescent="0.2">
      <c r="A1106" s="67" t="s">
        <v>1702</v>
      </c>
      <c r="B1106" s="49" t="s">
        <v>2337</v>
      </c>
      <c r="C1106" s="49" t="s">
        <v>2179</v>
      </c>
      <c r="D1106" s="57">
        <v>37395</v>
      </c>
      <c r="E1106" s="74" t="str">
        <f t="shared" si="17"/>
        <v>D</v>
      </c>
      <c r="G1106" s="59"/>
    </row>
    <row r="1107" spans="1:7" x14ac:dyDescent="0.2">
      <c r="A1107" s="67" t="s">
        <v>1703</v>
      </c>
      <c r="B1107" s="49" t="s">
        <v>2338</v>
      </c>
      <c r="C1107" s="49" t="s">
        <v>2180</v>
      </c>
      <c r="D1107" s="57">
        <v>38995</v>
      </c>
      <c r="E1107" s="74" t="str">
        <f t="shared" si="17"/>
        <v>D</v>
      </c>
      <c r="G1107" s="59"/>
    </row>
    <row r="1108" spans="1:7" x14ac:dyDescent="0.2">
      <c r="A1108" s="67" t="s">
        <v>1704</v>
      </c>
      <c r="B1108" s="49" t="s">
        <v>2339</v>
      </c>
      <c r="C1108" s="49" t="s">
        <v>2181</v>
      </c>
      <c r="D1108" s="57">
        <v>17595</v>
      </c>
      <c r="E1108" s="74" t="str">
        <f t="shared" si="17"/>
        <v>C</v>
      </c>
      <c r="G1108" s="59"/>
    </row>
    <row r="1109" spans="1:7" x14ac:dyDescent="0.2">
      <c r="A1109" s="67" t="s">
        <v>1705</v>
      </c>
      <c r="B1109" s="49" t="s">
        <v>2340</v>
      </c>
      <c r="C1109" s="49" t="s">
        <v>2182</v>
      </c>
      <c r="D1109" s="57">
        <v>21995</v>
      </c>
      <c r="E1109" s="74" t="str">
        <f t="shared" si="17"/>
        <v>C</v>
      </c>
      <c r="G1109" s="59"/>
    </row>
    <row r="1110" spans="1:7" x14ac:dyDescent="0.2">
      <c r="A1110" s="67" t="s">
        <v>1706</v>
      </c>
      <c r="B1110" s="49" t="s">
        <v>2341</v>
      </c>
      <c r="C1110" s="49" t="s">
        <v>2183</v>
      </c>
      <c r="D1110" s="57">
        <v>21995</v>
      </c>
      <c r="E1110" s="74" t="str">
        <f t="shared" si="17"/>
        <v>C</v>
      </c>
      <c r="G1110" s="59"/>
    </row>
    <row r="1111" spans="1:7" x14ac:dyDescent="0.2">
      <c r="A1111" s="67" t="s">
        <v>1707</v>
      </c>
      <c r="B1111" s="49" t="s">
        <v>2342</v>
      </c>
      <c r="C1111" s="49" t="s">
        <v>2184</v>
      </c>
      <c r="D1111" s="57">
        <v>19795</v>
      </c>
      <c r="E1111" s="74" t="str">
        <f t="shared" si="17"/>
        <v>C</v>
      </c>
      <c r="G1111" s="59"/>
    </row>
    <row r="1112" spans="1:7" x14ac:dyDescent="0.2">
      <c r="A1112" s="67" t="s">
        <v>1708</v>
      </c>
      <c r="B1112" s="49" t="s">
        <v>2343</v>
      </c>
      <c r="C1112" s="49" t="s">
        <v>2185</v>
      </c>
      <c r="D1112" s="57">
        <v>25295</v>
      </c>
      <c r="E1112" s="74" t="str">
        <f t="shared" si="17"/>
        <v>D</v>
      </c>
      <c r="G1112" s="59"/>
    </row>
    <row r="1113" spans="1:7" x14ac:dyDescent="0.2">
      <c r="A1113" s="67" t="s">
        <v>1709</v>
      </c>
      <c r="B1113" s="49" t="s">
        <v>2344</v>
      </c>
      <c r="C1113" s="49" t="s">
        <v>2186</v>
      </c>
      <c r="D1113" s="57">
        <v>25295</v>
      </c>
      <c r="E1113" s="74" t="str">
        <f t="shared" si="17"/>
        <v>D</v>
      </c>
      <c r="G1113" s="59"/>
    </row>
    <row r="1114" spans="1:7" x14ac:dyDescent="0.2">
      <c r="A1114" s="68" t="s">
        <v>1710</v>
      </c>
      <c r="B1114" s="39" t="s">
        <v>2187</v>
      </c>
      <c r="C1114" s="39" t="s">
        <v>2187</v>
      </c>
      <c r="D1114" s="57">
        <v>19795</v>
      </c>
      <c r="E1114" s="74" t="str">
        <f t="shared" si="17"/>
        <v>C</v>
      </c>
      <c r="G1114" s="59"/>
    </row>
    <row r="1115" spans="1:7" x14ac:dyDescent="0.2">
      <c r="A1115" s="68" t="s">
        <v>1711</v>
      </c>
      <c r="B1115" s="39" t="s">
        <v>2188</v>
      </c>
      <c r="C1115" s="39" t="s">
        <v>2188</v>
      </c>
      <c r="D1115" s="57">
        <v>29695</v>
      </c>
      <c r="E1115" s="74" t="str">
        <f t="shared" si="17"/>
        <v>D</v>
      </c>
      <c r="G1115" s="59"/>
    </row>
    <row r="1116" spans="1:7" x14ac:dyDescent="0.2">
      <c r="A1116" s="67" t="s">
        <v>1712</v>
      </c>
      <c r="B1116" s="49" t="s">
        <v>2345</v>
      </c>
      <c r="C1116" s="49" t="s">
        <v>2189</v>
      </c>
      <c r="D1116" s="57">
        <v>17595</v>
      </c>
      <c r="E1116" s="74" t="str">
        <f t="shared" si="17"/>
        <v>C</v>
      </c>
      <c r="G1116" s="59"/>
    </row>
    <row r="1117" spans="1:7" x14ac:dyDescent="0.2">
      <c r="A1117" s="67" t="s">
        <v>1713</v>
      </c>
      <c r="B1117" s="49" t="s">
        <v>2346</v>
      </c>
      <c r="C1117" s="49" t="s">
        <v>2190</v>
      </c>
      <c r="D1117" s="57">
        <v>20395</v>
      </c>
      <c r="E1117" s="74" t="str">
        <f t="shared" si="17"/>
        <v>C</v>
      </c>
      <c r="G1117" s="59"/>
    </row>
    <row r="1118" spans="1:7" x14ac:dyDescent="0.2">
      <c r="A1118" s="67" t="s">
        <v>1714</v>
      </c>
      <c r="B1118" s="49" t="s">
        <v>2347</v>
      </c>
      <c r="C1118" s="49" t="s">
        <v>2191</v>
      </c>
      <c r="D1118" s="57">
        <v>21995</v>
      </c>
      <c r="E1118" s="74" t="str">
        <f t="shared" si="17"/>
        <v>C</v>
      </c>
      <c r="G1118" s="59"/>
    </row>
    <row r="1119" spans="1:7" x14ac:dyDescent="0.2">
      <c r="A1119" s="67" t="s">
        <v>1715</v>
      </c>
      <c r="B1119" s="49" t="s">
        <v>2348</v>
      </c>
      <c r="C1119" s="49" t="s">
        <v>2192</v>
      </c>
      <c r="D1119" s="57">
        <v>24795</v>
      </c>
      <c r="E1119" s="74" t="str">
        <f t="shared" si="17"/>
        <v>C</v>
      </c>
      <c r="G1119" s="59"/>
    </row>
    <row r="1120" spans="1:7" x14ac:dyDescent="0.2">
      <c r="A1120" s="67" t="s">
        <v>1716</v>
      </c>
      <c r="B1120" s="49" t="s">
        <v>2349</v>
      </c>
      <c r="C1120" s="49" t="s">
        <v>2193</v>
      </c>
      <c r="D1120" s="57">
        <v>21995</v>
      </c>
      <c r="E1120" s="74" t="str">
        <f t="shared" si="17"/>
        <v>C</v>
      </c>
      <c r="G1120" s="59"/>
    </row>
    <row r="1121" spans="1:7" x14ac:dyDescent="0.2">
      <c r="A1121" s="67" t="s">
        <v>1717</v>
      </c>
      <c r="B1121" s="49" t="s">
        <v>2350</v>
      </c>
      <c r="C1121" s="49" t="s">
        <v>2194</v>
      </c>
      <c r="D1121" s="57">
        <v>24795</v>
      </c>
      <c r="E1121" s="74" t="str">
        <f t="shared" si="17"/>
        <v>C</v>
      </c>
      <c r="G1121" s="59"/>
    </row>
    <row r="1122" spans="1:7" x14ac:dyDescent="0.2">
      <c r="A1122" s="68" t="s">
        <v>1718</v>
      </c>
      <c r="B1122" s="39" t="s">
        <v>213</v>
      </c>
      <c r="C1122" s="39" t="s">
        <v>213</v>
      </c>
      <c r="D1122" s="57">
        <v>21995</v>
      </c>
      <c r="E1122" s="74" t="str">
        <f t="shared" si="17"/>
        <v>C</v>
      </c>
      <c r="G1122" s="59"/>
    </row>
    <row r="1123" spans="1:7" x14ac:dyDescent="0.2">
      <c r="A1123" s="68" t="s">
        <v>1719</v>
      </c>
      <c r="B1123" s="39" t="s">
        <v>214</v>
      </c>
      <c r="C1123" s="39" t="s">
        <v>214</v>
      </c>
      <c r="D1123" s="60">
        <v>29695</v>
      </c>
      <c r="E1123" s="74" t="str">
        <f t="shared" si="17"/>
        <v>D</v>
      </c>
      <c r="G1123" s="59"/>
    </row>
    <row r="1124" spans="1:7" x14ac:dyDescent="0.2">
      <c r="A1124" s="67" t="s">
        <v>1720</v>
      </c>
      <c r="B1124" s="49" t="s">
        <v>2351</v>
      </c>
      <c r="C1124" s="49" t="s">
        <v>2195</v>
      </c>
      <c r="D1124" s="57">
        <v>27495</v>
      </c>
      <c r="E1124" s="74" t="str">
        <f t="shared" si="17"/>
        <v>D</v>
      </c>
      <c r="G1124" s="59"/>
    </row>
    <row r="1125" spans="1:7" x14ac:dyDescent="0.2">
      <c r="A1125" s="67" t="s">
        <v>1721</v>
      </c>
      <c r="B1125" s="49" t="s">
        <v>2352</v>
      </c>
      <c r="C1125" s="49" t="s">
        <v>2196</v>
      </c>
      <c r="D1125" s="57">
        <v>30295</v>
      </c>
      <c r="E1125" s="74" t="str">
        <f t="shared" si="17"/>
        <v>D</v>
      </c>
      <c r="G1125" s="59"/>
    </row>
    <row r="1126" spans="1:7" x14ac:dyDescent="0.2">
      <c r="A1126" s="67" t="s">
        <v>1722</v>
      </c>
      <c r="B1126" s="49" t="s">
        <v>2353</v>
      </c>
      <c r="C1126" s="49" t="s">
        <v>2197</v>
      </c>
      <c r="D1126" s="57">
        <v>31995</v>
      </c>
      <c r="E1126" s="74" t="str">
        <f t="shared" si="17"/>
        <v>D</v>
      </c>
      <c r="G1126" s="59"/>
    </row>
    <row r="1127" spans="1:7" x14ac:dyDescent="0.2">
      <c r="A1127" s="67" t="s">
        <v>1723</v>
      </c>
      <c r="B1127" s="49" t="s">
        <v>2354</v>
      </c>
      <c r="C1127" s="49" t="s">
        <v>2198</v>
      </c>
      <c r="D1127" s="57">
        <v>34795</v>
      </c>
      <c r="E1127" s="74" t="str">
        <f t="shared" si="17"/>
        <v>D</v>
      </c>
      <c r="G1127" s="59"/>
    </row>
    <row r="1128" spans="1:7" x14ac:dyDescent="0.2">
      <c r="A1128" s="67" t="s">
        <v>1724</v>
      </c>
      <c r="B1128" s="49" t="s">
        <v>2355</v>
      </c>
      <c r="C1128" s="49" t="s">
        <v>2199</v>
      </c>
      <c r="D1128" s="57">
        <v>31995</v>
      </c>
      <c r="E1128" s="74" t="str">
        <f t="shared" si="17"/>
        <v>D</v>
      </c>
      <c r="G1128" s="59"/>
    </row>
    <row r="1129" spans="1:7" x14ac:dyDescent="0.2">
      <c r="A1129" s="67" t="s">
        <v>1725</v>
      </c>
      <c r="B1129" s="49" t="s">
        <v>2356</v>
      </c>
      <c r="C1129" s="49" t="s">
        <v>2200</v>
      </c>
      <c r="D1129" s="57">
        <v>34795</v>
      </c>
      <c r="E1129" s="74" t="str">
        <f t="shared" si="17"/>
        <v>D</v>
      </c>
      <c r="G1129" s="59"/>
    </row>
    <row r="1130" spans="1:7" x14ac:dyDescent="0.2">
      <c r="A1130" s="67" t="s">
        <v>1726</v>
      </c>
      <c r="B1130" s="49" t="s">
        <v>2326</v>
      </c>
      <c r="C1130" s="49" t="s">
        <v>2327</v>
      </c>
      <c r="D1130" s="57">
        <v>8795</v>
      </c>
      <c r="E1130" s="74" t="str">
        <f t="shared" si="17"/>
        <v>B</v>
      </c>
      <c r="G1130" s="59"/>
    </row>
    <row r="1131" spans="1:7" x14ac:dyDescent="0.2">
      <c r="A1131" s="67" t="s">
        <v>1727</v>
      </c>
      <c r="B1131" s="49" t="s">
        <v>2328</v>
      </c>
      <c r="C1131" s="49" t="s">
        <v>2329</v>
      </c>
      <c r="D1131" s="57">
        <v>6045</v>
      </c>
      <c r="E1131" s="74" t="str">
        <f t="shared" si="17"/>
        <v>B</v>
      </c>
      <c r="G1131" s="59"/>
    </row>
    <row r="1132" spans="1:7" x14ac:dyDescent="0.2">
      <c r="A1132" s="67" t="s">
        <v>1728</v>
      </c>
      <c r="B1132" s="49" t="s">
        <v>2330</v>
      </c>
      <c r="C1132" s="49" t="s">
        <v>2331</v>
      </c>
      <c r="D1132" s="57">
        <v>10995</v>
      </c>
      <c r="E1132" s="74" t="str">
        <f t="shared" si="17"/>
        <v>C</v>
      </c>
      <c r="G1132" s="59"/>
    </row>
    <row r="1133" spans="1:7" x14ac:dyDescent="0.2">
      <c r="A1133" s="67" t="s">
        <v>1729</v>
      </c>
      <c r="B1133" s="49" t="s">
        <v>2332</v>
      </c>
      <c r="C1133" s="49" t="s">
        <v>2332</v>
      </c>
      <c r="D1133" s="57">
        <v>5495</v>
      </c>
      <c r="E1133" s="74" t="str">
        <f t="shared" si="17"/>
        <v>B</v>
      </c>
      <c r="G1133" s="59"/>
    </row>
    <row r="1134" spans="1:7" x14ac:dyDescent="0.2">
      <c r="A1134" s="67" t="s">
        <v>1730</v>
      </c>
      <c r="B1134" s="49" t="s">
        <v>2333</v>
      </c>
      <c r="C1134" s="49" t="s">
        <v>2333</v>
      </c>
      <c r="D1134" s="57">
        <v>7695</v>
      </c>
      <c r="E1134" s="74" t="str">
        <f t="shared" si="17"/>
        <v>B</v>
      </c>
      <c r="G1134" s="59"/>
    </row>
    <row r="1135" spans="1:7" x14ac:dyDescent="0.2">
      <c r="A1135" s="67" t="s">
        <v>1731</v>
      </c>
      <c r="B1135" s="49" t="s">
        <v>2310</v>
      </c>
      <c r="C1135" s="49" t="s">
        <v>329</v>
      </c>
      <c r="D1135" s="57">
        <v>14295</v>
      </c>
      <c r="E1135" s="74" t="str">
        <f t="shared" si="17"/>
        <v>C</v>
      </c>
      <c r="G1135" s="59"/>
    </row>
    <row r="1136" spans="1:7" x14ac:dyDescent="0.2">
      <c r="A1136" s="67" t="s">
        <v>1732</v>
      </c>
      <c r="B1136" s="49" t="s">
        <v>55</v>
      </c>
      <c r="C1136" s="49" t="s">
        <v>55</v>
      </c>
      <c r="D1136" s="57">
        <v>13195</v>
      </c>
      <c r="E1136" s="74" t="str">
        <f t="shared" si="17"/>
        <v>C</v>
      </c>
      <c r="G1136" s="59"/>
    </row>
    <row r="1137" spans="1:7" x14ac:dyDescent="0.2">
      <c r="A1137" s="67" t="s">
        <v>1733</v>
      </c>
      <c r="B1137" s="49" t="s">
        <v>2334</v>
      </c>
      <c r="C1137" s="49" t="s">
        <v>2314</v>
      </c>
      <c r="D1137" s="57">
        <v>7695</v>
      </c>
      <c r="E1137" s="74" t="str">
        <f t="shared" si="17"/>
        <v>B</v>
      </c>
      <c r="G1137" s="59"/>
    </row>
    <row r="1138" spans="1:7" x14ac:dyDescent="0.2">
      <c r="A1138" s="67" t="s">
        <v>1734</v>
      </c>
      <c r="B1138" s="49" t="s">
        <v>334</v>
      </c>
      <c r="C1138" s="49" t="s">
        <v>335</v>
      </c>
      <c r="D1138" s="57">
        <v>7695</v>
      </c>
      <c r="E1138" s="74" t="str">
        <f t="shared" si="17"/>
        <v>B</v>
      </c>
      <c r="G1138" s="59"/>
    </row>
    <row r="1139" spans="1:7" x14ac:dyDescent="0.2">
      <c r="A1139" s="67" t="s">
        <v>1735</v>
      </c>
      <c r="B1139" s="49" t="s">
        <v>336</v>
      </c>
      <c r="C1139" s="49" t="s">
        <v>337</v>
      </c>
      <c r="D1139" s="57">
        <v>10995</v>
      </c>
      <c r="E1139" s="74" t="str">
        <f t="shared" si="17"/>
        <v>C</v>
      </c>
      <c r="G1139" s="59"/>
    </row>
    <row r="1140" spans="1:7" x14ac:dyDescent="0.2">
      <c r="A1140" s="67" t="s">
        <v>1736</v>
      </c>
      <c r="B1140" s="49" t="s">
        <v>536</v>
      </c>
      <c r="C1140" s="49" t="s">
        <v>537</v>
      </c>
      <c r="D1140" s="57">
        <v>2745</v>
      </c>
      <c r="E1140" s="74" t="str">
        <f t="shared" si="17"/>
        <v>B</v>
      </c>
      <c r="G1140" s="59"/>
    </row>
    <row r="1141" spans="1:7" x14ac:dyDescent="0.2">
      <c r="A1141" s="67" t="s">
        <v>1737</v>
      </c>
      <c r="B1141" s="49" t="s">
        <v>538</v>
      </c>
      <c r="C1141" s="49" t="s">
        <v>539</v>
      </c>
      <c r="D1141" s="57">
        <v>3845</v>
      </c>
      <c r="E1141" s="74" t="str">
        <f t="shared" si="17"/>
        <v>B</v>
      </c>
      <c r="G1141" s="59"/>
    </row>
    <row r="1142" spans="1:7" x14ac:dyDescent="0.2">
      <c r="A1142" s="67" t="s">
        <v>1738</v>
      </c>
      <c r="B1142" s="49" t="s">
        <v>542</v>
      </c>
      <c r="C1142" s="49" t="s">
        <v>543</v>
      </c>
      <c r="D1142" s="57">
        <v>10995</v>
      </c>
      <c r="E1142" s="74" t="str">
        <f t="shared" si="17"/>
        <v>C</v>
      </c>
      <c r="G1142" s="59"/>
    </row>
    <row r="1143" spans="1:7" x14ac:dyDescent="0.2">
      <c r="A1143" s="67" t="s">
        <v>1739</v>
      </c>
      <c r="B1143" s="49" t="s">
        <v>535</v>
      </c>
      <c r="C1143" s="49" t="s">
        <v>535</v>
      </c>
      <c r="D1143" s="57">
        <v>1095</v>
      </c>
      <c r="E1143" s="74" t="str">
        <f t="shared" si="17"/>
        <v>B</v>
      </c>
      <c r="G1143" s="59"/>
    </row>
    <row r="1144" spans="1:7" x14ac:dyDescent="0.2">
      <c r="A1144" s="67" t="s">
        <v>1740</v>
      </c>
      <c r="B1144" s="49" t="s">
        <v>205</v>
      </c>
      <c r="C1144" s="49" t="s">
        <v>206</v>
      </c>
      <c r="D1144" s="57">
        <v>2745</v>
      </c>
      <c r="E1144" s="74" t="str">
        <f t="shared" si="17"/>
        <v>B</v>
      </c>
      <c r="G1144" s="59"/>
    </row>
    <row r="1145" spans="1:7" x14ac:dyDescent="0.2">
      <c r="A1145" s="67" t="s">
        <v>1741</v>
      </c>
      <c r="B1145" s="49" t="s">
        <v>207</v>
      </c>
      <c r="C1145" s="49" t="s">
        <v>208</v>
      </c>
      <c r="D1145" s="57">
        <v>5495</v>
      </c>
      <c r="E1145" s="74" t="str">
        <f t="shared" si="17"/>
        <v>B</v>
      </c>
      <c r="G1145" s="59"/>
    </row>
    <row r="1146" spans="1:7" x14ac:dyDescent="0.2">
      <c r="A1146" s="67" t="s">
        <v>1742</v>
      </c>
      <c r="B1146" s="49" t="s">
        <v>2201</v>
      </c>
      <c r="C1146" s="49" t="s">
        <v>2201</v>
      </c>
      <c r="D1146" s="57">
        <v>1645</v>
      </c>
      <c r="E1146" s="74" t="str">
        <f t="shared" si="17"/>
        <v>B</v>
      </c>
      <c r="G1146" s="59"/>
    </row>
    <row r="1147" spans="1:7" x14ac:dyDescent="0.2">
      <c r="A1147" s="68" t="s">
        <v>1743</v>
      </c>
      <c r="B1147" s="39" t="s">
        <v>56</v>
      </c>
      <c r="C1147" s="39" t="s">
        <v>56</v>
      </c>
      <c r="D1147" s="57">
        <v>3295</v>
      </c>
      <c r="E1147" s="74" t="str">
        <f t="shared" si="17"/>
        <v>B</v>
      </c>
      <c r="G1147" s="59"/>
    </row>
    <row r="1148" spans="1:7" x14ac:dyDescent="0.2">
      <c r="A1148" s="67" t="s">
        <v>1744</v>
      </c>
      <c r="B1148" s="49" t="s">
        <v>2357</v>
      </c>
      <c r="C1148" s="49" t="s">
        <v>2357</v>
      </c>
      <c r="D1148" s="57">
        <v>1095</v>
      </c>
      <c r="E1148" s="74" t="str">
        <f t="shared" si="17"/>
        <v>B</v>
      </c>
      <c r="G1148" s="59"/>
    </row>
    <row r="1149" spans="1:7" x14ac:dyDescent="0.2">
      <c r="A1149" s="67" t="s">
        <v>1745</v>
      </c>
      <c r="B1149" s="49" t="s">
        <v>2202</v>
      </c>
      <c r="C1149" s="49" t="s">
        <v>2202</v>
      </c>
      <c r="D1149" s="57">
        <v>3995</v>
      </c>
      <c r="E1149" s="74" t="str">
        <f t="shared" si="17"/>
        <v>B</v>
      </c>
      <c r="G1149" s="59"/>
    </row>
    <row r="1150" spans="1:7" x14ac:dyDescent="0.2">
      <c r="A1150" s="68" t="s">
        <v>1746</v>
      </c>
      <c r="B1150" s="39" t="s">
        <v>2203</v>
      </c>
      <c r="C1150" s="39" t="s">
        <v>2203</v>
      </c>
      <c r="D1150" s="57">
        <v>7195</v>
      </c>
      <c r="E1150" s="74" t="str">
        <f t="shared" si="17"/>
        <v>B</v>
      </c>
      <c r="G1150" s="59"/>
    </row>
    <row r="1151" spans="1:7" x14ac:dyDescent="0.2">
      <c r="A1151" s="67" t="s">
        <v>1747</v>
      </c>
      <c r="B1151" s="49" t="s">
        <v>2204</v>
      </c>
      <c r="C1151" s="49" t="s">
        <v>2204</v>
      </c>
      <c r="D1151" s="57">
        <v>2195</v>
      </c>
      <c r="E1151" s="74" t="str">
        <f t="shared" si="17"/>
        <v>B</v>
      </c>
      <c r="G1151" s="59"/>
    </row>
    <row r="1152" spans="1:7" x14ac:dyDescent="0.2">
      <c r="A1152" s="67" t="s">
        <v>1748</v>
      </c>
      <c r="B1152" s="49" t="s">
        <v>2205</v>
      </c>
      <c r="C1152" s="49" t="s">
        <v>2205</v>
      </c>
      <c r="D1152" s="57">
        <v>4395</v>
      </c>
      <c r="E1152" s="74" t="str">
        <f t="shared" si="17"/>
        <v>B</v>
      </c>
      <c r="G1152" s="59"/>
    </row>
    <row r="1153" spans="1:7" x14ac:dyDescent="0.2">
      <c r="A1153" s="67" t="s">
        <v>1749</v>
      </c>
      <c r="B1153" s="49" t="s">
        <v>2206</v>
      </c>
      <c r="C1153" s="49" t="s">
        <v>2206</v>
      </c>
      <c r="D1153" s="57">
        <v>7195</v>
      </c>
      <c r="E1153" s="74" t="str">
        <f t="shared" si="17"/>
        <v>B</v>
      </c>
      <c r="G1153" s="59"/>
    </row>
    <row r="1154" spans="1:7" x14ac:dyDescent="0.2">
      <c r="A1154" s="67" t="s">
        <v>1750</v>
      </c>
      <c r="B1154" s="49" t="s">
        <v>2207</v>
      </c>
      <c r="C1154" s="49" t="s">
        <v>2207</v>
      </c>
      <c r="D1154" s="57">
        <v>2795</v>
      </c>
      <c r="E1154" s="74" t="str">
        <f t="shared" si="17"/>
        <v>B</v>
      </c>
      <c r="G1154" s="59"/>
    </row>
    <row r="1155" spans="1:7" x14ac:dyDescent="0.2">
      <c r="A1155" s="67" t="s">
        <v>1751</v>
      </c>
      <c r="B1155" s="49" t="s">
        <v>2208</v>
      </c>
      <c r="C1155" s="49" t="s">
        <v>2208</v>
      </c>
      <c r="D1155" s="57">
        <v>8795</v>
      </c>
      <c r="E1155" s="74" t="str">
        <f t="shared" si="17"/>
        <v>B</v>
      </c>
      <c r="G1155" s="59"/>
    </row>
    <row r="1156" spans="1:7" x14ac:dyDescent="0.2">
      <c r="A1156" s="67" t="s">
        <v>1752</v>
      </c>
      <c r="B1156" s="49" t="s">
        <v>2209</v>
      </c>
      <c r="C1156" s="49" t="s">
        <v>2209</v>
      </c>
      <c r="D1156" s="57">
        <v>11495</v>
      </c>
      <c r="E1156" s="74" t="str">
        <f t="shared" si="17"/>
        <v>C</v>
      </c>
      <c r="G1156" s="59"/>
    </row>
    <row r="1157" spans="1:7" x14ac:dyDescent="0.2">
      <c r="A1157" s="67" t="s">
        <v>1753</v>
      </c>
      <c r="B1157" s="49" t="s">
        <v>2210</v>
      </c>
      <c r="C1157" s="49" t="s">
        <v>2210</v>
      </c>
      <c r="D1157" s="57">
        <v>7195</v>
      </c>
      <c r="E1157" s="74" t="str">
        <f t="shared" ref="E1157:E1220" si="18">VLOOKUP(D1157,$G$4:$H$7,2)</f>
        <v>B</v>
      </c>
      <c r="G1157" s="59"/>
    </row>
    <row r="1158" spans="1:7" x14ac:dyDescent="0.2">
      <c r="A1158" s="67" t="s">
        <v>1754</v>
      </c>
      <c r="B1158" s="49" t="s">
        <v>590</v>
      </c>
      <c r="C1158" s="49" t="s">
        <v>174</v>
      </c>
      <c r="D1158" s="57">
        <v>490</v>
      </c>
      <c r="E1158" s="74" t="str">
        <f t="shared" si="18"/>
        <v>A</v>
      </c>
      <c r="G1158" s="59"/>
    </row>
    <row r="1159" spans="1:7" x14ac:dyDescent="0.2">
      <c r="A1159" s="67" t="s">
        <v>1755</v>
      </c>
      <c r="B1159" s="49" t="s">
        <v>592</v>
      </c>
      <c r="C1159" s="49" t="s">
        <v>175</v>
      </c>
      <c r="D1159" s="57">
        <v>490</v>
      </c>
      <c r="E1159" s="74" t="str">
        <f t="shared" si="18"/>
        <v>A</v>
      </c>
      <c r="G1159" s="59"/>
    </row>
    <row r="1160" spans="1:7" x14ac:dyDescent="0.2">
      <c r="A1160" s="67" t="s">
        <v>1756</v>
      </c>
      <c r="B1160" s="49" t="s">
        <v>173</v>
      </c>
      <c r="C1160" s="49" t="s">
        <v>176</v>
      </c>
      <c r="D1160" s="57">
        <v>1095</v>
      </c>
      <c r="E1160" s="74" t="str">
        <f t="shared" si="18"/>
        <v>B</v>
      </c>
      <c r="G1160" s="59"/>
    </row>
    <row r="1161" spans="1:7" x14ac:dyDescent="0.2">
      <c r="A1161" s="67" t="s">
        <v>1757</v>
      </c>
      <c r="B1161" s="49" t="s">
        <v>518</v>
      </c>
      <c r="C1161" s="49" t="s">
        <v>176</v>
      </c>
      <c r="D1161" s="57">
        <v>4395</v>
      </c>
      <c r="E1161" s="74" t="str">
        <f t="shared" si="18"/>
        <v>B</v>
      </c>
      <c r="G1161" s="59"/>
    </row>
    <row r="1162" spans="1:7" x14ac:dyDescent="0.2">
      <c r="A1162" s="67" t="s">
        <v>1758</v>
      </c>
      <c r="B1162" s="49" t="s">
        <v>359</v>
      </c>
      <c r="C1162" s="49" t="s">
        <v>360</v>
      </c>
      <c r="D1162" s="57">
        <v>325</v>
      </c>
      <c r="E1162" s="74" t="str">
        <f t="shared" si="18"/>
        <v>A</v>
      </c>
      <c r="G1162" s="59"/>
    </row>
    <row r="1163" spans="1:7" x14ac:dyDescent="0.2">
      <c r="A1163" s="67" t="s">
        <v>1759</v>
      </c>
      <c r="B1163" s="49" t="s">
        <v>57</v>
      </c>
      <c r="C1163" s="49" t="s">
        <v>57</v>
      </c>
      <c r="D1163" s="57">
        <v>35195</v>
      </c>
      <c r="E1163" s="74" t="str">
        <f t="shared" si="18"/>
        <v>D</v>
      </c>
      <c r="G1163" s="59"/>
    </row>
    <row r="1164" spans="1:7" x14ac:dyDescent="0.2">
      <c r="A1164" s="67" t="s">
        <v>1760</v>
      </c>
      <c r="B1164" s="49" t="s">
        <v>58</v>
      </c>
      <c r="C1164" s="49" t="s">
        <v>58</v>
      </c>
      <c r="D1164" s="57">
        <v>29695</v>
      </c>
      <c r="E1164" s="74" t="str">
        <f t="shared" si="18"/>
        <v>D</v>
      </c>
      <c r="G1164" s="59"/>
    </row>
    <row r="1165" spans="1:7" x14ac:dyDescent="0.2">
      <c r="A1165" s="67" t="s">
        <v>1761</v>
      </c>
      <c r="B1165" s="49" t="s">
        <v>59</v>
      </c>
      <c r="C1165" s="49" t="s">
        <v>59</v>
      </c>
      <c r="D1165" s="57">
        <v>16495</v>
      </c>
      <c r="E1165" s="74" t="str">
        <f t="shared" si="18"/>
        <v>C</v>
      </c>
      <c r="G1165" s="59"/>
    </row>
    <row r="1166" spans="1:7" x14ac:dyDescent="0.2">
      <c r="A1166" s="67" t="s">
        <v>1762</v>
      </c>
      <c r="B1166" s="49" t="s">
        <v>60</v>
      </c>
      <c r="C1166" s="49" t="s">
        <v>60</v>
      </c>
      <c r="D1166" s="57">
        <v>21995</v>
      </c>
      <c r="E1166" s="74" t="str">
        <f t="shared" si="18"/>
        <v>C</v>
      </c>
      <c r="G1166" s="59"/>
    </row>
    <row r="1167" spans="1:7" x14ac:dyDescent="0.2">
      <c r="A1167" s="67" t="s">
        <v>1763</v>
      </c>
      <c r="B1167" s="49" t="s">
        <v>61</v>
      </c>
      <c r="C1167" s="49" t="s">
        <v>61</v>
      </c>
      <c r="D1167" s="57">
        <v>17595</v>
      </c>
      <c r="E1167" s="74" t="str">
        <f t="shared" si="18"/>
        <v>C</v>
      </c>
      <c r="G1167" s="59"/>
    </row>
    <row r="1168" spans="1:7" x14ac:dyDescent="0.2">
      <c r="A1168" s="67" t="s">
        <v>1764</v>
      </c>
      <c r="B1168" s="49" t="s">
        <v>62</v>
      </c>
      <c r="C1168" s="49" t="s">
        <v>62</v>
      </c>
      <c r="D1168" s="57">
        <v>25295</v>
      </c>
      <c r="E1168" s="74" t="str">
        <f t="shared" si="18"/>
        <v>D</v>
      </c>
      <c r="G1168" s="59"/>
    </row>
    <row r="1169" spans="1:7" x14ac:dyDescent="0.2">
      <c r="A1169" s="67" t="s">
        <v>1765</v>
      </c>
      <c r="B1169" s="49" t="s">
        <v>63</v>
      </c>
      <c r="C1169" s="49" t="s">
        <v>63</v>
      </c>
      <c r="D1169" s="57">
        <v>10995</v>
      </c>
      <c r="E1169" s="74" t="str">
        <f t="shared" si="18"/>
        <v>C</v>
      </c>
      <c r="G1169" s="59"/>
    </row>
    <row r="1170" spans="1:7" x14ac:dyDescent="0.2">
      <c r="A1170" s="67" t="s">
        <v>1766</v>
      </c>
      <c r="B1170" s="49" t="s">
        <v>64</v>
      </c>
      <c r="C1170" s="49" t="s">
        <v>64</v>
      </c>
      <c r="D1170" s="57">
        <v>19795</v>
      </c>
      <c r="E1170" s="74" t="str">
        <f t="shared" si="18"/>
        <v>C</v>
      </c>
      <c r="G1170" s="59"/>
    </row>
    <row r="1171" spans="1:7" x14ac:dyDescent="0.2">
      <c r="A1171" s="67" t="s">
        <v>1767</v>
      </c>
      <c r="B1171" s="49" t="s">
        <v>2211</v>
      </c>
      <c r="C1171" s="49" t="s">
        <v>2211</v>
      </c>
      <c r="D1171" s="57">
        <v>8795</v>
      </c>
      <c r="E1171" s="74" t="str">
        <f t="shared" si="18"/>
        <v>B</v>
      </c>
      <c r="G1171" s="59"/>
    </row>
    <row r="1172" spans="1:7" x14ac:dyDescent="0.2">
      <c r="A1172" s="67" t="s">
        <v>1768</v>
      </c>
      <c r="B1172" s="49" t="s">
        <v>2212</v>
      </c>
      <c r="C1172" s="49" t="s">
        <v>2212</v>
      </c>
      <c r="D1172" s="57">
        <v>4395</v>
      </c>
      <c r="E1172" s="74" t="str">
        <f t="shared" si="18"/>
        <v>B</v>
      </c>
      <c r="G1172" s="59"/>
    </row>
    <row r="1173" spans="1:7" x14ac:dyDescent="0.2">
      <c r="A1173" s="67" t="s">
        <v>1769</v>
      </c>
      <c r="B1173" s="49" t="s">
        <v>65</v>
      </c>
      <c r="C1173" s="49" t="s">
        <v>66</v>
      </c>
      <c r="D1173" s="57">
        <v>3895</v>
      </c>
      <c r="E1173" s="74" t="str">
        <f t="shared" si="18"/>
        <v>B</v>
      </c>
      <c r="G1173" s="59"/>
    </row>
    <row r="1174" spans="1:7" x14ac:dyDescent="0.2">
      <c r="A1174" s="67" t="s">
        <v>1770</v>
      </c>
      <c r="B1174" s="49" t="s">
        <v>2213</v>
      </c>
      <c r="C1174" s="49" t="s">
        <v>67</v>
      </c>
      <c r="D1174" s="57">
        <v>10995</v>
      </c>
      <c r="E1174" s="74" t="str">
        <f t="shared" si="18"/>
        <v>C</v>
      </c>
      <c r="G1174" s="59"/>
    </row>
    <row r="1175" spans="1:7" x14ac:dyDescent="0.2">
      <c r="A1175" s="67" t="s">
        <v>1771</v>
      </c>
      <c r="B1175" s="49" t="s">
        <v>2214</v>
      </c>
      <c r="C1175" s="49" t="s">
        <v>68</v>
      </c>
      <c r="D1175" s="57">
        <v>10995</v>
      </c>
      <c r="E1175" s="74" t="str">
        <f t="shared" si="18"/>
        <v>C</v>
      </c>
      <c r="G1175" s="59"/>
    </row>
    <row r="1176" spans="1:7" x14ac:dyDescent="0.2">
      <c r="A1176" s="67" t="s">
        <v>1772</v>
      </c>
      <c r="B1176" s="49" t="s">
        <v>2215</v>
      </c>
      <c r="C1176" s="49" t="s">
        <v>69</v>
      </c>
      <c r="D1176" s="57">
        <v>10995</v>
      </c>
      <c r="E1176" s="74" t="str">
        <f t="shared" si="18"/>
        <v>C</v>
      </c>
      <c r="G1176" s="59"/>
    </row>
    <row r="1177" spans="1:7" x14ac:dyDescent="0.2">
      <c r="A1177" s="67" t="s">
        <v>1773</v>
      </c>
      <c r="B1177" s="49" t="s">
        <v>70</v>
      </c>
      <c r="C1177" s="49" t="s">
        <v>71</v>
      </c>
      <c r="D1177" s="57">
        <v>3295</v>
      </c>
      <c r="E1177" s="74" t="str">
        <f t="shared" si="18"/>
        <v>B</v>
      </c>
      <c r="G1177" s="59"/>
    </row>
    <row r="1178" spans="1:7" x14ac:dyDescent="0.2">
      <c r="A1178" s="67" t="s">
        <v>1774</v>
      </c>
      <c r="B1178" s="49" t="s">
        <v>2216</v>
      </c>
      <c r="C1178" s="49" t="s">
        <v>2217</v>
      </c>
      <c r="D1178" s="57">
        <v>2195</v>
      </c>
      <c r="E1178" s="74" t="str">
        <f t="shared" si="18"/>
        <v>B</v>
      </c>
      <c r="G1178" s="59"/>
    </row>
    <row r="1179" spans="1:7" x14ac:dyDescent="0.2">
      <c r="A1179" s="67" t="s">
        <v>1775</v>
      </c>
      <c r="B1179" s="49" t="s">
        <v>2216</v>
      </c>
      <c r="C1179" s="49" t="s">
        <v>2217</v>
      </c>
      <c r="D1179" s="57">
        <v>2195</v>
      </c>
      <c r="E1179" s="74" t="str">
        <f t="shared" si="18"/>
        <v>B</v>
      </c>
      <c r="G1179" s="59"/>
    </row>
    <row r="1180" spans="1:7" x14ac:dyDescent="0.2">
      <c r="A1180" s="67" t="s">
        <v>1776</v>
      </c>
      <c r="B1180" s="49" t="s">
        <v>2216</v>
      </c>
      <c r="C1180" s="49" t="s">
        <v>2217</v>
      </c>
      <c r="D1180" s="57">
        <v>2195</v>
      </c>
      <c r="E1180" s="74" t="str">
        <f t="shared" si="18"/>
        <v>B</v>
      </c>
      <c r="G1180" s="59"/>
    </row>
    <row r="1181" spans="1:7" x14ac:dyDescent="0.2">
      <c r="A1181" s="68" t="s">
        <v>1777</v>
      </c>
      <c r="B1181" s="39" t="s">
        <v>72</v>
      </c>
      <c r="C1181" s="39" t="s">
        <v>73</v>
      </c>
      <c r="D1181" s="57">
        <v>0</v>
      </c>
      <c r="E1181" s="74" t="str">
        <f t="shared" si="18"/>
        <v>A</v>
      </c>
      <c r="G1181" s="59"/>
    </row>
    <row r="1182" spans="1:7" x14ac:dyDescent="0.2">
      <c r="A1182" s="68" t="s">
        <v>1778</v>
      </c>
      <c r="B1182" s="39" t="s">
        <v>74</v>
      </c>
      <c r="C1182" s="39" t="s">
        <v>75</v>
      </c>
      <c r="D1182" s="57">
        <v>135845</v>
      </c>
      <c r="E1182" s="74" t="str">
        <f t="shared" si="18"/>
        <v>D</v>
      </c>
      <c r="G1182" s="59"/>
    </row>
    <row r="1183" spans="1:7" x14ac:dyDescent="0.2">
      <c r="A1183" s="68" t="s">
        <v>1779</v>
      </c>
      <c r="B1183" s="39" t="s">
        <v>76</v>
      </c>
      <c r="C1183" s="39" t="s">
        <v>77</v>
      </c>
      <c r="D1183" s="57">
        <v>182595</v>
      </c>
      <c r="E1183" s="74" t="str">
        <f t="shared" si="18"/>
        <v>D</v>
      </c>
      <c r="G1183" s="59"/>
    </row>
    <row r="1184" spans="1:7" x14ac:dyDescent="0.2">
      <c r="A1184" s="68" t="s">
        <v>1780</v>
      </c>
      <c r="B1184" s="39" t="s">
        <v>78</v>
      </c>
      <c r="C1184" s="39" t="s">
        <v>79</v>
      </c>
      <c r="D1184" s="57">
        <v>208995</v>
      </c>
      <c r="E1184" s="74" t="str">
        <f t="shared" si="18"/>
        <v>D</v>
      </c>
      <c r="G1184" s="59"/>
    </row>
    <row r="1185" spans="1:7" x14ac:dyDescent="0.2">
      <c r="A1185" s="68" t="s">
        <v>1781</v>
      </c>
      <c r="B1185" s="39" t="s">
        <v>80</v>
      </c>
      <c r="C1185" s="39" t="s">
        <v>81</v>
      </c>
      <c r="D1185" s="57">
        <v>42895</v>
      </c>
      <c r="E1185" s="74" t="str">
        <f t="shared" si="18"/>
        <v>D</v>
      </c>
      <c r="G1185" s="59"/>
    </row>
    <row r="1186" spans="1:7" x14ac:dyDescent="0.2">
      <c r="A1186" s="68" t="s">
        <v>1782</v>
      </c>
      <c r="B1186" s="39" t="s">
        <v>82</v>
      </c>
      <c r="C1186" s="39" t="s">
        <v>83</v>
      </c>
      <c r="D1186" s="57">
        <v>10995</v>
      </c>
      <c r="E1186" s="74" t="str">
        <f t="shared" si="18"/>
        <v>C</v>
      </c>
      <c r="G1186" s="59"/>
    </row>
    <row r="1187" spans="1:7" x14ac:dyDescent="0.2">
      <c r="A1187" s="68" t="s">
        <v>1783</v>
      </c>
      <c r="B1187" s="39" t="s">
        <v>84</v>
      </c>
      <c r="C1187" s="39" t="s">
        <v>85</v>
      </c>
      <c r="D1187" s="57">
        <v>42895</v>
      </c>
      <c r="E1187" s="74" t="str">
        <f t="shared" si="18"/>
        <v>D</v>
      </c>
      <c r="G1187" s="59"/>
    </row>
    <row r="1188" spans="1:7" x14ac:dyDescent="0.2">
      <c r="A1188" s="68" t="s">
        <v>1784</v>
      </c>
      <c r="B1188" s="39" t="s">
        <v>86</v>
      </c>
      <c r="C1188" s="39" t="s">
        <v>87</v>
      </c>
      <c r="D1188" s="57">
        <v>64895</v>
      </c>
      <c r="E1188" s="74" t="str">
        <f t="shared" si="18"/>
        <v>D</v>
      </c>
      <c r="G1188" s="59"/>
    </row>
    <row r="1189" spans="1:7" x14ac:dyDescent="0.2">
      <c r="A1189" s="68" t="s">
        <v>1785</v>
      </c>
      <c r="B1189" s="39" t="s">
        <v>88</v>
      </c>
      <c r="C1189" s="39" t="s">
        <v>89</v>
      </c>
      <c r="D1189" s="57">
        <v>271695</v>
      </c>
      <c r="E1189" s="74" t="str">
        <f t="shared" si="18"/>
        <v>D</v>
      </c>
      <c r="G1189" s="59"/>
    </row>
    <row r="1190" spans="1:7" x14ac:dyDescent="0.2">
      <c r="A1190" s="67" t="s">
        <v>1786</v>
      </c>
      <c r="B1190" s="49" t="s">
        <v>90</v>
      </c>
      <c r="C1190" s="49" t="s">
        <v>90</v>
      </c>
      <c r="D1190" s="57">
        <v>66</v>
      </c>
      <c r="E1190" s="74" t="str">
        <f t="shared" si="18"/>
        <v>A</v>
      </c>
      <c r="G1190" s="59"/>
    </row>
    <row r="1191" spans="1:7" x14ac:dyDescent="0.2">
      <c r="A1191" s="68" t="s">
        <v>1787</v>
      </c>
      <c r="B1191" s="39" t="s">
        <v>2304</v>
      </c>
      <c r="C1191" s="39" t="s">
        <v>2305</v>
      </c>
      <c r="D1191" s="57">
        <v>88</v>
      </c>
      <c r="E1191" s="74" t="str">
        <f t="shared" si="18"/>
        <v>A</v>
      </c>
      <c r="G1191" s="59"/>
    </row>
    <row r="1192" spans="1:7" x14ac:dyDescent="0.2">
      <c r="A1192" s="68" t="s">
        <v>1788</v>
      </c>
      <c r="B1192" s="39" t="s">
        <v>1866</v>
      </c>
      <c r="C1192" s="39" t="s">
        <v>91</v>
      </c>
      <c r="D1192" s="57">
        <v>88</v>
      </c>
      <c r="E1192" s="74" t="str">
        <f t="shared" si="18"/>
        <v>A</v>
      </c>
      <c r="G1192" s="59"/>
    </row>
    <row r="1193" spans="1:7" x14ac:dyDescent="0.2">
      <c r="A1193" s="67" t="s">
        <v>1789</v>
      </c>
      <c r="B1193" s="49" t="s">
        <v>92</v>
      </c>
      <c r="C1193" s="49" t="s">
        <v>93</v>
      </c>
      <c r="D1193" s="57">
        <v>11</v>
      </c>
      <c r="E1193" s="74" t="str">
        <f t="shared" si="18"/>
        <v>A</v>
      </c>
      <c r="G1193" s="59"/>
    </row>
    <row r="1194" spans="1:7" x14ac:dyDescent="0.2">
      <c r="A1194" s="67" t="s">
        <v>1790</v>
      </c>
      <c r="B1194" s="49" t="s">
        <v>94</v>
      </c>
      <c r="C1194" s="49" t="s">
        <v>95</v>
      </c>
      <c r="D1194" s="57">
        <v>138</v>
      </c>
      <c r="E1194" s="74" t="str">
        <f t="shared" si="18"/>
        <v>A</v>
      </c>
      <c r="G1194" s="59"/>
    </row>
    <row r="1195" spans="1:7" x14ac:dyDescent="0.2">
      <c r="A1195" s="68" t="s">
        <v>1791</v>
      </c>
      <c r="B1195" s="39" t="s">
        <v>2218</v>
      </c>
      <c r="C1195" s="39" t="s">
        <v>2218</v>
      </c>
      <c r="D1195" s="38">
        <v>72</v>
      </c>
      <c r="E1195" s="74" t="str">
        <f t="shared" si="18"/>
        <v>A</v>
      </c>
      <c r="G1195" s="59"/>
    </row>
    <row r="1196" spans="1:7" x14ac:dyDescent="0.2">
      <c r="A1196" s="68" t="s">
        <v>1792</v>
      </c>
      <c r="B1196" s="39" t="s">
        <v>2219</v>
      </c>
      <c r="C1196" s="39" t="s">
        <v>2219</v>
      </c>
      <c r="D1196" s="38">
        <v>83</v>
      </c>
      <c r="E1196" s="74" t="str">
        <f t="shared" si="18"/>
        <v>A</v>
      </c>
      <c r="G1196" s="59"/>
    </row>
    <row r="1197" spans="1:7" x14ac:dyDescent="0.2">
      <c r="A1197" s="68" t="s">
        <v>1793</v>
      </c>
      <c r="B1197" s="39" t="s">
        <v>2220</v>
      </c>
      <c r="C1197" s="39" t="s">
        <v>2220</v>
      </c>
      <c r="D1197" s="38">
        <v>105</v>
      </c>
      <c r="E1197" s="74" t="str">
        <f t="shared" si="18"/>
        <v>A</v>
      </c>
      <c r="G1197" s="59"/>
    </row>
    <row r="1198" spans="1:7" x14ac:dyDescent="0.2">
      <c r="A1198" s="67" t="s">
        <v>1794</v>
      </c>
      <c r="B1198" s="49" t="s">
        <v>96</v>
      </c>
      <c r="C1198" s="49" t="s">
        <v>97</v>
      </c>
      <c r="D1198" s="57">
        <v>825</v>
      </c>
      <c r="E1198" s="74" t="str">
        <f t="shared" si="18"/>
        <v>A</v>
      </c>
      <c r="G1198" s="59"/>
    </row>
    <row r="1199" spans="1:7" x14ac:dyDescent="0.2">
      <c r="A1199" s="67" t="s">
        <v>1795</v>
      </c>
      <c r="B1199" s="49" t="s">
        <v>98</v>
      </c>
      <c r="C1199" s="49" t="s">
        <v>99</v>
      </c>
      <c r="D1199" s="57">
        <v>33</v>
      </c>
      <c r="E1199" s="74" t="str">
        <f t="shared" si="18"/>
        <v>A</v>
      </c>
      <c r="G1199" s="59"/>
    </row>
    <row r="1200" spans="1:7" x14ac:dyDescent="0.2">
      <c r="A1200" s="67" t="s">
        <v>1796</v>
      </c>
      <c r="B1200" s="49" t="s">
        <v>100</v>
      </c>
      <c r="C1200" s="49" t="s">
        <v>101</v>
      </c>
      <c r="D1200" s="57">
        <v>33</v>
      </c>
      <c r="E1200" s="74" t="str">
        <f t="shared" si="18"/>
        <v>A</v>
      </c>
      <c r="G1200" s="59"/>
    </row>
    <row r="1201" spans="1:7" x14ac:dyDescent="0.2">
      <c r="A1201" s="67" t="s">
        <v>1797</v>
      </c>
      <c r="B1201" s="49" t="s">
        <v>102</v>
      </c>
      <c r="C1201" s="49" t="s">
        <v>103</v>
      </c>
      <c r="D1201" s="57">
        <v>66</v>
      </c>
      <c r="E1201" s="74" t="str">
        <f t="shared" si="18"/>
        <v>A</v>
      </c>
      <c r="G1201" s="59"/>
    </row>
    <row r="1202" spans="1:7" x14ac:dyDescent="0.2">
      <c r="A1202" s="67" t="s">
        <v>1798</v>
      </c>
      <c r="B1202" s="49" t="s">
        <v>104</v>
      </c>
      <c r="C1202" s="49" t="s">
        <v>105</v>
      </c>
      <c r="D1202" s="57">
        <v>55</v>
      </c>
      <c r="E1202" s="74" t="str">
        <f t="shared" si="18"/>
        <v>A</v>
      </c>
      <c r="G1202" s="59"/>
    </row>
    <row r="1203" spans="1:7" x14ac:dyDescent="0.2">
      <c r="A1203" s="67" t="s">
        <v>1799</v>
      </c>
      <c r="B1203" s="49" t="s">
        <v>1862</v>
      </c>
      <c r="C1203" s="49" t="s">
        <v>106</v>
      </c>
      <c r="D1203" s="57">
        <v>55</v>
      </c>
      <c r="E1203" s="74" t="str">
        <f t="shared" si="18"/>
        <v>A</v>
      </c>
      <c r="G1203" s="59"/>
    </row>
    <row r="1204" spans="1:7" x14ac:dyDescent="0.2">
      <c r="A1204" s="67" t="s">
        <v>1800</v>
      </c>
      <c r="B1204" s="49" t="s">
        <v>107</v>
      </c>
      <c r="C1204" s="49" t="s">
        <v>108</v>
      </c>
      <c r="D1204" s="57">
        <v>138</v>
      </c>
      <c r="E1204" s="74" t="str">
        <f t="shared" si="18"/>
        <v>A</v>
      </c>
      <c r="G1204" s="59"/>
    </row>
    <row r="1205" spans="1:7" x14ac:dyDescent="0.2">
      <c r="A1205" s="67" t="s">
        <v>1801</v>
      </c>
      <c r="B1205" s="49" t="s">
        <v>109</v>
      </c>
      <c r="C1205" s="49" t="s">
        <v>110</v>
      </c>
      <c r="D1205" s="57">
        <v>138</v>
      </c>
      <c r="E1205" s="74" t="str">
        <f t="shared" si="18"/>
        <v>A</v>
      </c>
      <c r="G1205" s="59"/>
    </row>
    <row r="1206" spans="1:7" x14ac:dyDescent="0.2">
      <c r="A1206" s="67" t="s">
        <v>1802</v>
      </c>
      <c r="B1206" s="49" t="s">
        <v>111</v>
      </c>
      <c r="C1206" s="49" t="s">
        <v>112</v>
      </c>
      <c r="D1206" s="57">
        <v>165</v>
      </c>
      <c r="E1206" s="74" t="str">
        <f t="shared" si="18"/>
        <v>A</v>
      </c>
      <c r="G1206" s="59"/>
    </row>
    <row r="1207" spans="1:7" x14ac:dyDescent="0.2">
      <c r="A1207" s="67" t="s">
        <v>1803</v>
      </c>
      <c r="B1207" s="49" t="s">
        <v>113</v>
      </c>
      <c r="C1207" s="49" t="s">
        <v>114</v>
      </c>
      <c r="D1207" s="57">
        <v>11</v>
      </c>
      <c r="E1207" s="74" t="str">
        <f t="shared" si="18"/>
        <v>A</v>
      </c>
      <c r="G1207" s="59"/>
    </row>
    <row r="1208" spans="1:7" x14ac:dyDescent="0.2">
      <c r="A1208" s="67" t="s">
        <v>1804</v>
      </c>
      <c r="B1208" s="49" t="s">
        <v>115</v>
      </c>
      <c r="C1208" s="49" t="s">
        <v>114</v>
      </c>
      <c r="D1208" s="57">
        <v>11</v>
      </c>
      <c r="E1208" s="74" t="str">
        <f t="shared" si="18"/>
        <v>A</v>
      </c>
      <c r="G1208" s="59"/>
    </row>
    <row r="1209" spans="1:7" x14ac:dyDescent="0.2">
      <c r="A1209" s="67" t="s">
        <v>1805</v>
      </c>
      <c r="B1209" s="49" t="s">
        <v>116</v>
      </c>
      <c r="C1209" s="49" t="s">
        <v>117</v>
      </c>
      <c r="D1209" s="57">
        <v>17</v>
      </c>
      <c r="E1209" s="74" t="str">
        <f t="shared" si="18"/>
        <v>A</v>
      </c>
      <c r="G1209" s="59"/>
    </row>
    <row r="1210" spans="1:7" x14ac:dyDescent="0.2">
      <c r="A1210" s="67" t="s">
        <v>1806</v>
      </c>
      <c r="B1210" s="49" t="s">
        <v>118</v>
      </c>
      <c r="C1210" s="49" t="s">
        <v>119</v>
      </c>
      <c r="D1210" s="57">
        <v>17</v>
      </c>
      <c r="E1210" s="74" t="str">
        <f t="shared" si="18"/>
        <v>A</v>
      </c>
      <c r="G1210" s="59"/>
    </row>
    <row r="1211" spans="1:7" x14ac:dyDescent="0.2">
      <c r="A1211" s="67" t="s">
        <v>1807</v>
      </c>
      <c r="B1211" s="49" t="s">
        <v>120</v>
      </c>
      <c r="C1211" s="49" t="s">
        <v>121</v>
      </c>
      <c r="D1211" s="57">
        <v>17</v>
      </c>
      <c r="E1211" s="74" t="str">
        <f t="shared" si="18"/>
        <v>A</v>
      </c>
      <c r="G1211" s="59"/>
    </row>
    <row r="1212" spans="1:7" x14ac:dyDescent="0.2">
      <c r="A1212" s="67" t="s">
        <v>1808</v>
      </c>
      <c r="B1212" s="49" t="s">
        <v>122</v>
      </c>
      <c r="C1212" s="49" t="s">
        <v>123</v>
      </c>
      <c r="D1212" s="57">
        <v>33</v>
      </c>
      <c r="E1212" s="74" t="str">
        <f t="shared" si="18"/>
        <v>A</v>
      </c>
      <c r="G1212" s="59"/>
    </row>
    <row r="1213" spans="1:7" x14ac:dyDescent="0.2">
      <c r="A1213" s="67" t="s">
        <v>1809</v>
      </c>
      <c r="B1213" s="49" t="s">
        <v>124</v>
      </c>
      <c r="C1213" s="49" t="s">
        <v>125</v>
      </c>
      <c r="D1213" s="57">
        <v>83</v>
      </c>
      <c r="E1213" s="74" t="str">
        <f t="shared" si="18"/>
        <v>A</v>
      </c>
      <c r="G1213" s="59"/>
    </row>
    <row r="1214" spans="1:7" x14ac:dyDescent="0.2">
      <c r="A1214" s="67" t="s">
        <v>1810</v>
      </c>
      <c r="B1214" s="49" t="s">
        <v>126</v>
      </c>
      <c r="C1214" s="49" t="s">
        <v>127</v>
      </c>
      <c r="D1214" s="57">
        <v>39</v>
      </c>
      <c r="E1214" s="74" t="str">
        <f t="shared" si="18"/>
        <v>A</v>
      </c>
      <c r="G1214" s="59"/>
    </row>
    <row r="1215" spans="1:7" x14ac:dyDescent="0.2">
      <c r="A1215" s="67" t="s">
        <v>1811</v>
      </c>
      <c r="B1215" s="49" t="s">
        <v>128</v>
      </c>
      <c r="C1215" s="49" t="s">
        <v>129</v>
      </c>
      <c r="D1215" s="57">
        <v>39</v>
      </c>
      <c r="E1215" s="74" t="str">
        <f t="shared" si="18"/>
        <v>A</v>
      </c>
      <c r="G1215" s="59"/>
    </row>
    <row r="1216" spans="1:7" x14ac:dyDescent="0.2">
      <c r="A1216" s="68" t="s">
        <v>1812</v>
      </c>
      <c r="B1216" s="39" t="s">
        <v>130</v>
      </c>
      <c r="C1216" s="39" t="s">
        <v>131</v>
      </c>
      <c r="D1216" s="57">
        <v>76</v>
      </c>
      <c r="E1216" s="74" t="str">
        <f t="shared" si="18"/>
        <v>A</v>
      </c>
      <c r="G1216" s="59"/>
    </row>
    <row r="1217" spans="1:7" x14ac:dyDescent="0.2">
      <c r="A1217" s="68" t="s">
        <v>1813</v>
      </c>
      <c r="B1217" s="39" t="s">
        <v>1867</v>
      </c>
      <c r="C1217" s="39" t="s">
        <v>132</v>
      </c>
      <c r="D1217" s="38">
        <v>66</v>
      </c>
      <c r="E1217" s="74" t="str">
        <f t="shared" si="18"/>
        <v>A</v>
      </c>
      <c r="G1217" s="59"/>
    </row>
    <row r="1218" spans="1:7" x14ac:dyDescent="0.2">
      <c r="A1218" s="67" t="s">
        <v>1814</v>
      </c>
      <c r="B1218" s="49" t="s">
        <v>133</v>
      </c>
      <c r="C1218" s="49" t="s">
        <v>133</v>
      </c>
      <c r="D1218" s="57">
        <v>39</v>
      </c>
      <c r="E1218" s="74" t="str">
        <f t="shared" si="18"/>
        <v>A</v>
      </c>
      <c r="G1218" s="59"/>
    </row>
    <row r="1219" spans="1:7" x14ac:dyDescent="0.2">
      <c r="A1219" s="68" t="s">
        <v>1815</v>
      </c>
      <c r="B1219" s="39" t="s">
        <v>134</v>
      </c>
      <c r="C1219" s="39" t="s">
        <v>134</v>
      </c>
      <c r="D1219" s="38">
        <v>39</v>
      </c>
      <c r="E1219" s="74" t="str">
        <f t="shared" si="18"/>
        <v>A</v>
      </c>
      <c r="G1219" s="59"/>
    </row>
    <row r="1220" spans="1:7" x14ac:dyDescent="0.2">
      <c r="A1220" s="68" t="s">
        <v>1816</v>
      </c>
      <c r="B1220" s="39" t="s">
        <v>135</v>
      </c>
      <c r="C1220" s="39" t="s">
        <v>135</v>
      </c>
      <c r="D1220" s="38">
        <v>39</v>
      </c>
      <c r="E1220" s="74" t="str">
        <f t="shared" si="18"/>
        <v>A</v>
      </c>
      <c r="G1220" s="59"/>
    </row>
    <row r="1221" spans="1:7" x14ac:dyDescent="0.2">
      <c r="A1221" s="67" t="s">
        <v>1817</v>
      </c>
      <c r="B1221" s="49" t="s">
        <v>1863</v>
      </c>
      <c r="C1221" s="49" t="s">
        <v>136</v>
      </c>
      <c r="D1221" s="57">
        <v>48</v>
      </c>
      <c r="E1221" s="74" t="str">
        <f t="shared" ref="E1221:E1254" si="19">VLOOKUP(D1221,$G$4:$H$7,2)</f>
        <v>A</v>
      </c>
      <c r="G1221" s="59"/>
    </row>
    <row r="1222" spans="1:7" x14ac:dyDescent="0.2">
      <c r="A1222" s="68" t="s">
        <v>1818</v>
      </c>
      <c r="B1222" s="39" t="s">
        <v>2306</v>
      </c>
      <c r="C1222" s="39" t="s">
        <v>137</v>
      </c>
      <c r="D1222" s="38">
        <v>105</v>
      </c>
      <c r="E1222" s="74" t="str">
        <f t="shared" si="19"/>
        <v>A</v>
      </c>
      <c r="G1222" s="59"/>
    </row>
    <row r="1223" spans="1:7" x14ac:dyDescent="0.2">
      <c r="A1223" s="68" t="s">
        <v>1819</v>
      </c>
      <c r="B1223" s="39" t="s">
        <v>504</v>
      </c>
      <c r="C1223" s="39" t="s">
        <v>504</v>
      </c>
      <c r="D1223" s="38">
        <v>75</v>
      </c>
      <c r="E1223" s="74" t="str">
        <f t="shared" si="19"/>
        <v>A</v>
      </c>
      <c r="G1223" s="59"/>
    </row>
    <row r="1224" spans="1:7" x14ac:dyDescent="0.2">
      <c r="A1224" s="67" t="s">
        <v>1820</v>
      </c>
      <c r="B1224" s="49" t="s">
        <v>138</v>
      </c>
      <c r="C1224" s="49" t="s">
        <v>139</v>
      </c>
      <c r="D1224" s="57">
        <v>66</v>
      </c>
      <c r="E1224" s="74" t="str">
        <f t="shared" si="19"/>
        <v>A</v>
      </c>
      <c r="G1224" s="59"/>
    </row>
    <row r="1225" spans="1:7" x14ac:dyDescent="0.2">
      <c r="A1225" s="67" t="s">
        <v>1821</v>
      </c>
      <c r="B1225" s="49" t="s">
        <v>140</v>
      </c>
      <c r="C1225" s="49" t="s">
        <v>141</v>
      </c>
      <c r="D1225" s="57">
        <v>66</v>
      </c>
      <c r="E1225" s="74" t="str">
        <f t="shared" si="19"/>
        <v>A</v>
      </c>
      <c r="G1225" s="59"/>
    </row>
    <row r="1226" spans="1:7" x14ac:dyDescent="0.2">
      <c r="A1226" s="67" t="s">
        <v>1822</v>
      </c>
      <c r="B1226" s="49" t="s">
        <v>142</v>
      </c>
      <c r="C1226" s="49" t="s">
        <v>143</v>
      </c>
      <c r="D1226" s="57">
        <v>66</v>
      </c>
      <c r="E1226" s="74" t="str">
        <f t="shared" si="19"/>
        <v>A</v>
      </c>
      <c r="G1226" s="59"/>
    </row>
    <row r="1227" spans="1:7" x14ac:dyDescent="0.2">
      <c r="A1227" s="67" t="s">
        <v>1823</v>
      </c>
      <c r="B1227" s="49" t="s">
        <v>144</v>
      </c>
      <c r="C1227" s="49" t="s">
        <v>145</v>
      </c>
      <c r="D1227" s="57">
        <v>88</v>
      </c>
      <c r="E1227" s="74" t="str">
        <f t="shared" si="19"/>
        <v>A</v>
      </c>
      <c r="G1227" s="59"/>
    </row>
    <row r="1228" spans="1:7" x14ac:dyDescent="0.2">
      <c r="A1228" s="67" t="s">
        <v>1824</v>
      </c>
      <c r="B1228" s="49" t="s">
        <v>146</v>
      </c>
      <c r="C1228" s="49" t="s">
        <v>33</v>
      </c>
      <c r="D1228" s="57">
        <v>44</v>
      </c>
      <c r="E1228" s="74" t="str">
        <f t="shared" si="19"/>
        <v>A</v>
      </c>
      <c r="G1228" s="59"/>
    </row>
    <row r="1229" spans="1:7" x14ac:dyDescent="0.2">
      <c r="A1229" s="67" t="s">
        <v>1825</v>
      </c>
      <c r="B1229" s="49" t="s">
        <v>147</v>
      </c>
      <c r="C1229" s="49" t="s">
        <v>148</v>
      </c>
      <c r="D1229" s="57">
        <v>330</v>
      </c>
      <c r="E1229" s="74" t="str">
        <f t="shared" si="19"/>
        <v>A</v>
      </c>
      <c r="G1229" s="59"/>
    </row>
    <row r="1230" spans="1:7" x14ac:dyDescent="0.2">
      <c r="A1230" s="67" t="s">
        <v>1826</v>
      </c>
      <c r="B1230" s="49" t="s">
        <v>149</v>
      </c>
      <c r="C1230" s="49" t="s">
        <v>150</v>
      </c>
      <c r="D1230" s="57">
        <v>28</v>
      </c>
      <c r="E1230" s="74" t="str">
        <f t="shared" si="19"/>
        <v>A</v>
      </c>
      <c r="G1230" s="59"/>
    </row>
    <row r="1231" spans="1:7" x14ac:dyDescent="0.2">
      <c r="A1231" s="67" t="s">
        <v>1827</v>
      </c>
      <c r="B1231" s="49" t="s">
        <v>151</v>
      </c>
      <c r="C1231" s="49" t="s">
        <v>152</v>
      </c>
      <c r="D1231" s="57">
        <v>88</v>
      </c>
      <c r="E1231" s="74" t="str">
        <f t="shared" si="19"/>
        <v>A</v>
      </c>
      <c r="G1231" s="59"/>
    </row>
    <row r="1232" spans="1:7" x14ac:dyDescent="0.2">
      <c r="A1232" s="67" t="s">
        <v>1828</v>
      </c>
      <c r="B1232" s="49" t="s">
        <v>153</v>
      </c>
      <c r="C1232" s="49" t="s">
        <v>154</v>
      </c>
      <c r="D1232" s="57">
        <v>6</v>
      </c>
      <c r="E1232" s="74" t="str">
        <f t="shared" si="19"/>
        <v>A</v>
      </c>
      <c r="G1232" s="59"/>
    </row>
    <row r="1233" spans="1:7" x14ac:dyDescent="0.2">
      <c r="A1233" s="67" t="s">
        <v>1829</v>
      </c>
      <c r="B1233" s="49" t="s">
        <v>155</v>
      </c>
      <c r="C1233" s="49" t="s">
        <v>156</v>
      </c>
      <c r="D1233" s="57">
        <v>2</v>
      </c>
      <c r="E1233" s="74" t="str">
        <f t="shared" si="19"/>
        <v>A</v>
      </c>
      <c r="G1233" s="59"/>
    </row>
    <row r="1234" spans="1:7" x14ac:dyDescent="0.2">
      <c r="A1234" s="67" t="s">
        <v>1830</v>
      </c>
      <c r="B1234" s="49" t="s">
        <v>157</v>
      </c>
      <c r="C1234" s="49" t="s">
        <v>158</v>
      </c>
      <c r="D1234" s="57">
        <v>3</v>
      </c>
      <c r="E1234" s="74" t="str">
        <f t="shared" si="19"/>
        <v>A</v>
      </c>
      <c r="G1234" s="59"/>
    </row>
    <row r="1235" spans="1:7" x14ac:dyDescent="0.2">
      <c r="A1235" s="67" t="s">
        <v>1831</v>
      </c>
      <c r="B1235" s="49" t="s">
        <v>159</v>
      </c>
      <c r="C1235" s="49" t="s">
        <v>160</v>
      </c>
      <c r="D1235" s="57">
        <v>33</v>
      </c>
      <c r="E1235" s="74" t="str">
        <f t="shared" si="19"/>
        <v>A</v>
      </c>
      <c r="G1235" s="59"/>
    </row>
    <row r="1236" spans="1:7" x14ac:dyDescent="0.2">
      <c r="A1236" s="67" t="s">
        <v>1832</v>
      </c>
      <c r="B1236" s="49" t="s">
        <v>161</v>
      </c>
      <c r="C1236" s="49" t="s">
        <v>162</v>
      </c>
      <c r="D1236" s="57">
        <v>28</v>
      </c>
      <c r="E1236" s="74" t="str">
        <f t="shared" si="19"/>
        <v>A</v>
      </c>
      <c r="G1236" s="59"/>
    </row>
    <row r="1237" spans="1:7" x14ac:dyDescent="0.2">
      <c r="A1237" s="67" t="s">
        <v>1833</v>
      </c>
      <c r="B1237" s="49" t="s">
        <v>163</v>
      </c>
      <c r="C1237" s="49" t="s">
        <v>164</v>
      </c>
      <c r="D1237" s="57">
        <v>44</v>
      </c>
      <c r="E1237" s="74" t="str">
        <f t="shared" si="19"/>
        <v>A</v>
      </c>
      <c r="G1237" s="59"/>
    </row>
    <row r="1238" spans="1:7" x14ac:dyDescent="0.2">
      <c r="A1238" s="67" t="s">
        <v>1834</v>
      </c>
      <c r="B1238" s="49" t="s">
        <v>165</v>
      </c>
      <c r="C1238" s="49" t="s">
        <v>166</v>
      </c>
      <c r="D1238" s="57">
        <v>44</v>
      </c>
      <c r="E1238" s="74" t="str">
        <f t="shared" si="19"/>
        <v>A</v>
      </c>
      <c r="G1238" s="59"/>
    </row>
    <row r="1239" spans="1:7" x14ac:dyDescent="0.2">
      <c r="A1239" s="67" t="s">
        <v>1835</v>
      </c>
      <c r="B1239" s="49" t="s">
        <v>167</v>
      </c>
      <c r="C1239" s="49" t="s">
        <v>168</v>
      </c>
      <c r="D1239" s="57">
        <v>50</v>
      </c>
      <c r="E1239" s="74" t="str">
        <f t="shared" si="19"/>
        <v>A</v>
      </c>
      <c r="G1239" s="59"/>
    </row>
    <row r="1240" spans="1:7" x14ac:dyDescent="0.2">
      <c r="A1240" s="67" t="s">
        <v>1836</v>
      </c>
      <c r="B1240" s="49" t="s">
        <v>169</v>
      </c>
      <c r="C1240" s="49" t="s">
        <v>170</v>
      </c>
      <c r="D1240" s="57">
        <v>44</v>
      </c>
      <c r="E1240" s="74" t="str">
        <f t="shared" si="19"/>
        <v>A</v>
      </c>
      <c r="G1240" s="59"/>
    </row>
    <row r="1241" spans="1:7" x14ac:dyDescent="0.2">
      <c r="A1241" s="67" t="s">
        <v>1837</v>
      </c>
      <c r="B1241" s="49" t="s">
        <v>0</v>
      </c>
      <c r="C1241" s="49" t="s">
        <v>1</v>
      </c>
      <c r="D1241" s="57">
        <v>94</v>
      </c>
      <c r="E1241" s="74" t="str">
        <f t="shared" si="19"/>
        <v>A</v>
      </c>
      <c r="G1241" s="59"/>
    </row>
    <row r="1242" spans="1:7" x14ac:dyDescent="0.2">
      <c r="A1242" s="67" t="s">
        <v>1838</v>
      </c>
      <c r="B1242" s="49" t="s">
        <v>2</v>
      </c>
      <c r="C1242" s="49" t="s">
        <v>3</v>
      </c>
      <c r="D1242" s="57">
        <v>99</v>
      </c>
      <c r="E1242" s="74" t="str">
        <f t="shared" si="19"/>
        <v>A</v>
      </c>
      <c r="G1242" s="59"/>
    </row>
    <row r="1243" spans="1:7" x14ac:dyDescent="0.2">
      <c r="A1243" s="68" t="s">
        <v>1839</v>
      </c>
      <c r="B1243" s="39" t="s">
        <v>2221</v>
      </c>
      <c r="C1243" s="38" t="s">
        <v>2221</v>
      </c>
      <c r="D1243" s="57">
        <v>549</v>
      </c>
      <c r="E1243" s="74" t="str">
        <f t="shared" si="19"/>
        <v>A</v>
      </c>
      <c r="G1243" s="59"/>
    </row>
    <row r="1244" spans="1:7" x14ac:dyDescent="0.2">
      <c r="A1244" s="68" t="s">
        <v>1840</v>
      </c>
      <c r="B1244" s="39" t="s">
        <v>2222</v>
      </c>
      <c r="C1244" s="38" t="s">
        <v>2222</v>
      </c>
      <c r="D1244" s="57">
        <v>549</v>
      </c>
      <c r="E1244" s="74" t="str">
        <f t="shared" si="19"/>
        <v>A</v>
      </c>
      <c r="G1244" s="59"/>
    </row>
    <row r="1245" spans="1:7" x14ac:dyDescent="0.2">
      <c r="A1245" s="68" t="s">
        <v>1841</v>
      </c>
      <c r="B1245" s="39" t="s">
        <v>2222</v>
      </c>
      <c r="C1245" s="38" t="s">
        <v>2222</v>
      </c>
      <c r="D1245" s="57">
        <v>549</v>
      </c>
      <c r="E1245" s="74" t="str">
        <f t="shared" si="19"/>
        <v>A</v>
      </c>
      <c r="G1245" s="59"/>
    </row>
    <row r="1246" spans="1:7" x14ac:dyDescent="0.2">
      <c r="A1246" s="67" t="s">
        <v>1842</v>
      </c>
      <c r="B1246" s="49" t="s">
        <v>2307</v>
      </c>
      <c r="C1246" s="49" t="s">
        <v>4</v>
      </c>
      <c r="D1246" s="57">
        <v>1645</v>
      </c>
      <c r="E1246" s="74" t="str">
        <f t="shared" si="19"/>
        <v>B</v>
      </c>
      <c r="G1246" s="59"/>
    </row>
    <row r="1247" spans="1:7" x14ac:dyDescent="0.2">
      <c r="A1247" s="67" t="s">
        <v>1843</v>
      </c>
      <c r="B1247" s="49" t="s">
        <v>2223</v>
      </c>
      <c r="C1247" s="49" t="s">
        <v>5</v>
      </c>
      <c r="D1247" s="57">
        <v>3295</v>
      </c>
      <c r="E1247" s="74" t="str">
        <f t="shared" si="19"/>
        <v>B</v>
      </c>
      <c r="G1247" s="59"/>
    </row>
    <row r="1248" spans="1:7" x14ac:dyDescent="0.2">
      <c r="A1248" s="67" t="s">
        <v>1844</v>
      </c>
      <c r="B1248" s="49" t="s">
        <v>2308</v>
      </c>
      <c r="C1248" s="49" t="s">
        <v>2224</v>
      </c>
      <c r="D1248" s="57">
        <v>7195</v>
      </c>
      <c r="E1248" s="74" t="str">
        <f t="shared" si="19"/>
        <v>B</v>
      </c>
      <c r="G1248" s="59"/>
    </row>
    <row r="1249" spans="1:7" x14ac:dyDescent="0.2">
      <c r="A1249" s="67" t="s">
        <v>1845</v>
      </c>
      <c r="B1249" s="49" t="s">
        <v>2225</v>
      </c>
      <c r="C1249" s="49" t="s">
        <v>6</v>
      </c>
      <c r="D1249" s="57">
        <v>8795</v>
      </c>
      <c r="E1249" s="74" t="str">
        <f t="shared" si="19"/>
        <v>B</v>
      </c>
      <c r="G1249" s="59"/>
    </row>
    <row r="1250" spans="1:7" x14ac:dyDescent="0.2">
      <c r="A1250" s="67" t="s">
        <v>1846</v>
      </c>
      <c r="B1250" s="49" t="s">
        <v>2226</v>
      </c>
      <c r="C1250" s="49" t="s">
        <v>7</v>
      </c>
      <c r="D1250" s="57">
        <v>3295</v>
      </c>
      <c r="E1250" s="74" t="str">
        <f t="shared" si="19"/>
        <v>B</v>
      </c>
      <c r="G1250" s="59"/>
    </row>
    <row r="1251" spans="1:7" x14ac:dyDescent="0.2">
      <c r="A1251" s="67" t="s">
        <v>1847</v>
      </c>
      <c r="B1251" s="49" t="s">
        <v>2227</v>
      </c>
      <c r="C1251" s="49" t="s">
        <v>8</v>
      </c>
      <c r="D1251" s="57">
        <v>3295</v>
      </c>
      <c r="E1251" s="74" t="str">
        <f t="shared" si="19"/>
        <v>B</v>
      </c>
      <c r="G1251" s="59"/>
    </row>
    <row r="1252" spans="1:7" x14ac:dyDescent="0.2">
      <c r="A1252" s="67" t="s">
        <v>1848</v>
      </c>
      <c r="B1252" s="49" t="s">
        <v>1981</v>
      </c>
      <c r="C1252" s="49" t="s">
        <v>9</v>
      </c>
      <c r="D1252" s="57">
        <v>55</v>
      </c>
      <c r="E1252" s="74" t="str">
        <f t="shared" si="19"/>
        <v>A</v>
      </c>
      <c r="G1252" s="59"/>
    </row>
    <row r="1253" spans="1:7" x14ac:dyDescent="0.2">
      <c r="A1253" s="67" t="s">
        <v>1849</v>
      </c>
      <c r="B1253" s="49" t="s">
        <v>2228</v>
      </c>
      <c r="C1253" s="49" t="s">
        <v>10</v>
      </c>
      <c r="D1253" s="57">
        <v>2195</v>
      </c>
      <c r="E1253" s="74" t="str">
        <f t="shared" si="19"/>
        <v>B</v>
      </c>
      <c r="G1253" s="59"/>
    </row>
    <row r="1254" spans="1:7" x14ac:dyDescent="0.2">
      <c r="A1254" s="80" t="s">
        <v>1850</v>
      </c>
      <c r="B1254" s="81" t="s">
        <v>11</v>
      </c>
      <c r="C1254" s="81" t="s">
        <v>12</v>
      </c>
      <c r="D1254" s="82">
        <v>275</v>
      </c>
      <c r="E1254" s="83" t="str">
        <f t="shared" si="19"/>
        <v>A</v>
      </c>
      <c r="G1254" s="59"/>
    </row>
    <row r="1255" spans="1:7" x14ac:dyDescent="0.2">
      <c r="G1255" s="59"/>
    </row>
    <row r="1256" spans="1:7" x14ac:dyDescent="0.2">
      <c r="G1256" s="59"/>
    </row>
    <row r="1257" spans="1:7" x14ac:dyDescent="0.2">
      <c r="G1257" s="59"/>
    </row>
    <row r="1258" spans="1:7" x14ac:dyDescent="0.2">
      <c r="G1258" s="59"/>
    </row>
    <row r="1259" spans="1:7" x14ac:dyDescent="0.2">
      <c r="G1259" s="59"/>
    </row>
    <row r="1260" spans="1:7" x14ac:dyDescent="0.2">
      <c r="G1260" s="59"/>
    </row>
  </sheetData>
  <phoneticPr fontId="0" type="noConversion"/>
  <pageMargins left="0.75" right="0.75" top="1" bottom="1" header="0.5" footer="0.5"/>
  <pageSetup orientation="portrait" horizontalDpi="75" verticalDpi="75"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2"/>
  <sheetViews>
    <sheetView zoomScale="120" zoomScaleNormal="120" workbookViewId="0">
      <selection activeCell="C11" sqref="C11"/>
    </sheetView>
  </sheetViews>
  <sheetFormatPr defaultColWidth="9" defaultRowHeight="12.75" x14ac:dyDescent="0.2"/>
  <cols>
    <col min="1" max="1" width="5" style="1" customWidth="1"/>
    <col min="2" max="2" width="9" style="3"/>
    <col min="3" max="16384" width="9" style="1"/>
  </cols>
  <sheetData>
    <row r="1" spans="1:8" s="4" customFormat="1" ht="23.25" x14ac:dyDescent="0.35">
      <c r="A1" s="40" t="s">
        <v>2374</v>
      </c>
      <c r="B1" s="35"/>
      <c r="C1" s="35"/>
      <c r="D1" s="36"/>
      <c r="H1" s="41"/>
    </row>
    <row r="2" spans="1:8" x14ac:dyDescent="0.2">
      <c r="B2" s="1"/>
    </row>
    <row r="3" spans="1:8" s="10" customFormat="1" ht="19.5" customHeight="1" x14ac:dyDescent="0.2">
      <c r="A3" s="42"/>
      <c r="B3" s="43"/>
      <c r="C3" s="91" t="s">
        <v>2373</v>
      </c>
      <c r="D3" s="91"/>
      <c r="E3" s="91"/>
      <c r="F3" s="91"/>
    </row>
    <row r="4" spans="1:8" s="10" customFormat="1" ht="19.5" customHeight="1" x14ac:dyDescent="0.2">
      <c r="A4" s="92" t="s">
        <v>599</v>
      </c>
      <c r="B4" s="44"/>
      <c r="C4" s="44" t="s">
        <v>2369</v>
      </c>
      <c r="D4" s="44" t="s">
        <v>2370</v>
      </c>
      <c r="E4" s="44" t="s">
        <v>2371</v>
      </c>
      <c r="F4" s="44" t="s">
        <v>2372</v>
      </c>
    </row>
    <row r="5" spans="1:8" s="10" customFormat="1" ht="19.5" customHeight="1" x14ac:dyDescent="0.2">
      <c r="A5" s="92"/>
      <c r="B5" s="45" t="s">
        <v>496</v>
      </c>
      <c r="C5" s="46">
        <v>3.5000000000000003E-2</v>
      </c>
      <c r="D5" s="46">
        <v>5.5E-2</v>
      </c>
      <c r="E5" s="46">
        <v>7.4999999999999997E-2</v>
      </c>
      <c r="F5" s="46">
        <v>9.5000000000000001E-2</v>
      </c>
    </row>
    <row r="6" spans="1:8" s="10" customFormat="1" ht="19.5" customHeight="1" x14ac:dyDescent="0.2">
      <c r="A6" s="92"/>
      <c r="B6" s="45" t="s">
        <v>508</v>
      </c>
      <c r="C6" s="46">
        <v>4.4999999999999998E-2</v>
      </c>
      <c r="D6" s="46">
        <v>6.5000000000000002E-2</v>
      </c>
      <c r="E6" s="46">
        <v>8.5000000000000006E-2</v>
      </c>
      <c r="F6" s="46">
        <v>0.10500000000000001</v>
      </c>
    </row>
    <row r="7" spans="1:8" s="10" customFormat="1" ht="19.5" customHeight="1" x14ac:dyDescent="0.2">
      <c r="A7" s="92"/>
      <c r="B7" s="45" t="s">
        <v>498</v>
      </c>
      <c r="C7" s="46">
        <v>5.5E-2</v>
      </c>
      <c r="D7" s="46">
        <v>7.4999999999999997E-2</v>
      </c>
      <c r="E7" s="46">
        <v>9.5000000000000001E-2</v>
      </c>
      <c r="F7" s="46">
        <v>0.115</v>
      </c>
    </row>
    <row r="8" spans="1:8" s="10" customFormat="1" ht="19.5" customHeight="1" x14ac:dyDescent="0.2">
      <c r="A8" s="92"/>
      <c r="B8" s="45" t="s">
        <v>600</v>
      </c>
      <c r="C8" s="46">
        <v>6.5000000000000002E-2</v>
      </c>
      <c r="D8" s="46">
        <v>8.5000000000000006E-2</v>
      </c>
      <c r="E8" s="46">
        <v>0.10500000000000001</v>
      </c>
      <c r="F8" s="46">
        <v>0.125</v>
      </c>
    </row>
    <row r="10" spans="1:8" x14ac:dyDescent="0.2">
      <c r="B10" s="52" t="s">
        <v>2382</v>
      </c>
      <c r="C10" s="52" t="s">
        <v>2384</v>
      </c>
      <c r="D10" s="52" t="s">
        <v>2383</v>
      </c>
      <c r="E10" s="52" t="s">
        <v>2385</v>
      </c>
      <c r="F10" s="54" t="s">
        <v>2362</v>
      </c>
    </row>
    <row r="11" spans="1:8" x14ac:dyDescent="0.2">
      <c r="B11" s="3" t="s">
        <v>498</v>
      </c>
      <c r="D11" s="53" t="s">
        <v>2370</v>
      </c>
      <c r="F11" s="47"/>
    </row>
    <row r="12" spans="1:8" x14ac:dyDescent="0.2">
      <c r="D12" s="47"/>
    </row>
  </sheetData>
  <mergeCells count="2">
    <mergeCell ref="C3:F3"/>
    <mergeCell ref="A4:A8"/>
  </mergeCells>
  <dataValidations count="2">
    <dataValidation type="list" allowBlank="1" showInputMessage="1" showErrorMessage="1" sqref="B11" xr:uid="{00000000-0002-0000-0200-000000000000}">
      <formula1>Discount_Categories</formula1>
    </dataValidation>
    <dataValidation type="list" allowBlank="1" showInputMessage="1" showErrorMessage="1" sqref="D11" xr:uid="{00000000-0002-0000-0200-000001000000}">
      <formula1>Customer_Categories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Customer Quote</vt:lpstr>
      <vt:lpstr>International Price List</vt:lpstr>
      <vt:lpstr>Discount Matrix</vt:lpstr>
      <vt:lpstr>Customer_Categories</vt:lpstr>
      <vt:lpstr>Discount_Categories</vt:lpstr>
      <vt:lpstr>Discounts</vt:lpstr>
      <vt:lpstr>Item_Code</vt:lpstr>
      <vt:lpstr>Quote</vt:lpstr>
    </vt:vector>
  </TitlesOfParts>
  <Company>Foundry Networks,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 Davis</dc:creator>
  <cp:lastModifiedBy>Russell Tito</cp:lastModifiedBy>
  <dcterms:created xsi:type="dcterms:W3CDTF">2006-11-03T19:50:03Z</dcterms:created>
  <dcterms:modified xsi:type="dcterms:W3CDTF">2026-10-23T20:48:35Z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-1535248582</vt:i4>
  </property>
  <property fmtid="{D5CDD505-2E9C-101B-9397-08002B2CF9AE}" pid="3" name="_EmailSubject">
    <vt:lpwstr>Pricing Advisory: New Price Lists and Quote Tools</vt:lpwstr>
  </property>
  <property fmtid="{D5CDD505-2E9C-101B-9397-08002B2CF9AE}" pid="4" name="_AuthorEmail">
    <vt:lpwstr>mdavis@foundrynet.com</vt:lpwstr>
  </property>
  <property fmtid="{D5CDD505-2E9C-101B-9397-08002B2CF9AE}" pid="5" name="_AuthorEmailDisplayName">
    <vt:lpwstr>Matt Davis</vt:lpwstr>
  </property>
  <property fmtid="{D5CDD505-2E9C-101B-9397-08002B2CF9AE}" pid="6" name="_ReviewingToolsShownOnce">
    <vt:lpwstr/>
  </property>
</Properties>
</file>