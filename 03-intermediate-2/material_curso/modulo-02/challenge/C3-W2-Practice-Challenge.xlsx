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challenge\"/>
    </mc:Choice>
  </mc:AlternateContent>
  <xr:revisionPtr revIDLastSave="0" documentId="13_ncr:1_{29D1EA5C-3300-44E7-994D-0ED5DC131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4" r:id="rId1"/>
    <sheet name="Data" sheetId="1" r:id="rId2"/>
  </sheets>
  <externalReferences>
    <externalReference r:id="rId3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Finish_date">'[1]Project-Data'!$E$6:$E$65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6" i="1"/>
  <c r="U13" i="1"/>
  <c r="U14" i="1"/>
  <c r="U15" i="1"/>
  <c r="U16" i="1"/>
  <c r="U17" i="1"/>
  <c r="U18" i="1"/>
  <c r="U19" i="1"/>
  <c r="U20" i="1"/>
  <c r="U21" i="1"/>
  <c r="U22" i="1"/>
  <c r="U12" i="1"/>
  <c r="T13" i="1"/>
  <c r="T14" i="1"/>
  <c r="T15" i="1"/>
  <c r="T16" i="1"/>
  <c r="T17" i="1"/>
  <c r="T18" i="1"/>
  <c r="T19" i="1"/>
  <c r="T20" i="1"/>
  <c r="T21" i="1"/>
  <c r="T22" i="1"/>
  <c r="T12" i="1"/>
  <c r="G14" i="1"/>
  <c r="H13" i="1"/>
  <c r="H4" i="1"/>
  <c r="H5" i="1"/>
  <c r="H6" i="1"/>
  <c r="H7" i="1"/>
  <c r="H8" i="1"/>
  <c r="H9" i="1"/>
  <c r="H10" i="1"/>
  <c r="H11" i="1"/>
  <c r="H12" i="1"/>
  <c r="H3" i="1"/>
  <c r="G1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AD22" i="1" l="1"/>
</calcChain>
</file>

<file path=xl/sharedStrings.xml><?xml version="1.0" encoding="utf-8"?>
<sst xmlns="http://schemas.openxmlformats.org/spreadsheetml/2006/main" count="132" uniqueCount="121">
  <si>
    <t>Volume</t>
  </si>
  <si>
    <t>Practice Challenge</t>
  </si>
  <si>
    <t>Scenario</t>
  </si>
  <si>
    <t>Excel Skills for Business: Intermediate II</t>
  </si>
  <si>
    <t>Week 2: Conditional Logic</t>
  </si>
  <si>
    <t>1. Explain the concept of conditional logic in formulas
2. Evaluate data in a cell using logical tests
3. Use conditional operations in functions (IF, AND, OR) 
4. Create formulas with nested IF functions</t>
  </si>
  <si>
    <t>Task 1.</t>
  </si>
  <si>
    <t>You have a portfolio of stocks that you are tracking for your retirement fund.</t>
  </si>
  <si>
    <t>You have recorded the total number of shares bought together with the average purchase price.</t>
  </si>
  <si>
    <t>Task 2</t>
  </si>
  <si>
    <t>Task 3</t>
  </si>
  <si>
    <t>Week 2: Learning Objectives</t>
  </si>
  <si>
    <t>Stock</t>
  </si>
  <si>
    <t>Price Paid</t>
  </si>
  <si>
    <t>Last Price</t>
  </si>
  <si>
    <t>Gain Value</t>
  </si>
  <si>
    <t>Loss Value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</si>
  <si>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</si>
  <si>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</si>
  <si>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</si>
  <si>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</si>
  <si>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</si>
  <si>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</si>
  <si>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</si>
  <si>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</si>
  <si>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</si>
  <si>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</si>
  <si>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Purchase Value</t>
  </si>
  <si>
    <t>Total</t>
  </si>
  <si>
    <t>Task 1</t>
  </si>
  <si>
    <t>Net Gain</t>
  </si>
  <si>
    <t>The data behind each of the tasks have their corresponding values in the Data Sheet. Simply click on the "plus" to reveal each task as needed.</t>
  </si>
  <si>
    <t>The grades and their defined ranges are shown in the Data Sheet.</t>
  </si>
  <si>
    <t xml:space="preserve"> because</t>
  </si>
  <si>
    <t>Student Name</t>
  </si>
  <si>
    <t>Quiz no1</t>
  </si>
  <si>
    <t>Quiz no2</t>
  </si>
  <si>
    <t>Quiz no3</t>
  </si>
  <si>
    <t>/10</t>
  </si>
  <si>
    <t>Quiz no4</t>
  </si>
  <si>
    <t>Challenge</t>
  </si>
  <si>
    <t>/20</t>
  </si>
  <si>
    <t>Practice</t>
  </si>
  <si>
    <t>Attendence</t>
  </si>
  <si>
    <t>/100</t>
  </si>
  <si>
    <t>Grade</t>
  </si>
  <si>
    <t>Grade Table</t>
  </si>
  <si>
    <t>Min</t>
  </si>
  <si>
    <t>Max</t>
  </si>
  <si>
    <t>Fail</t>
  </si>
  <si>
    <t>Pass</t>
  </si>
  <si>
    <t>Credit</t>
  </si>
  <si>
    <t>Distinction</t>
  </si>
  <si>
    <t>High Distinction</t>
  </si>
  <si>
    <t>Theresa Green</t>
  </si>
  <si>
    <t>Jim Nazium</t>
  </si>
  <si>
    <t>Sarah Bellum</t>
  </si>
  <si>
    <t>Bill Overdue</t>
  </si>
  <si>
    <t>Justin Case</t>
  </si>
  <si>
    <t>Marcus Absent</t>
  </si>
  <si>
    <t>I. P. Freely</t>
  </si>
  <si>
    <t>Rosanne Kollums</t>
  </si>
  <si>
    <t>Owen D. Banks</t>
  </si>
  <si>
    <t>Lotta Zitz</t>
  </si>
  <si>
    <t>Jerry Attrik</t>
  </si>
  <si>
    <t>You have been asked to write a little grading routine that awards grades next to students who attended an EXCEL course according to their overall result sum total</t>
  </si>
  <si>
    <t>Furnish the data with a total sum for the determination of the final grades.</t>
  </si>
  <si>
    <t>Use nested logical statements to determine the final grade for each student.</t>
  </si>
  <si>
    <t>and</t>
  </si>
  <si>
    <t>You are in charge of an inventory warehouse for stationery items.</t>
  </si>
  <si>
    <t xml:space="preserve">Orders come in and items are packed and shipped to the client, provided there are enough items in stock to fill in their order. </t>
  </si>
  <si>
    <t>Item</t>
  </si>
  <si>
    <t>(boxes/packets)</t>
  </si>
  <si>
    <t>pencils</t>
  </si>
  <si>
    <t>erasors</t>
  </si>
  <si>
    <t>pens</t>
  </si>
  <si>
    <t>rulers</t>
  </si>
  <si>
    <t>notepads</t>
  </si>
  <si>
    <t>scissors</t>
  </si>
  <si>
    <t>exercise books</t>
  </si>
  <si>
    <t>highlighters</t>
  </si>
  <si>
    <t>whiteboard markers</t>
  </si>
  <si>
    <t>protractors</t>
  </si>
  <si>
    <t>compasses</t>
  </si>
  <si>
    <t>gridpaper</t>
  </si>
  <si>
    <t>cardboard</t>
  </si>
  <si>
    <t>copy paper</t>
  </si>
  <si>
    <t>units in stock</t>
  </si>
  <si>
    <t>stapler</t>
  </si>
  <si>
    <t>staples</t>
  </si>
  <si>
    <t>Minimum</t>
  </si>
  <si>
    <t>Held before</t>
  </si>
  <si>
    <t>Reordering</t>
  </si>
  <si>
    <t>Delivery</t>
  </si>
  <si>
    <t>Comment</t>
  </si>
  <si>
    <t>Post Delivery</t>
  </si>
  <si>
    <t>Alerts</t>
  </si>
  <si>
    <t>New</t>
  </si>
  <si>
    <t>Order</t>
  </si>
  <si>
    <t>How many items did the order only partially fill?</t>
  </si>
  <si>
    <t>How many items did the order bring down to below the minimum usually kept in stock?</t>
  </si>
  <si>
    <t>Well done! Don't forget to save your workbook.</t>
  </si>
  <si>
    <t>Complete the Delivery column, delivering as much of the clients order as possible according to the amounts in stock. Use an IF statement to achieve this</t>
  </si>
  <si>
    <r>
      <t xml:space="preserve">You are keenly interested in tracking the monthly performance of these stocks and have set up a </t>
    </r>
    <r>
      <rPr>
        <b/>
        <sz val="11"/>
        <color theme="1"/>
        <rFont val="Calibri"/>
        <family val="2"/>
        <scheme val="minor"/>
      </rPr>
      <t>Last Price</t>
    </r>
    <r>
      <rPr>
        <sz val="11"/>
        <color theme="1"/>
        <rFont val="Calibri"/>
        <family val="2"/>
        <scheme val="minor"/>
      </rPr>
      <t xml:space="preserve"> column so that you can see how each stock is performing.</t>
    </r>
  </si>
  <si>
    <r>
      <t xml:space="preserve">a. </t>
    </r>
    <r>
      <rPr>
        <b/>
        <sz val="11"/>
        <color rgb="FFFF0000"/>
        <rFont val="Calibri"/>
        <family val="2"/>
        <scheme val="minor"/>
      </rPr>
      <t>Complete</t>
    </r>
    <r>
      <rPr>
        <sz val="11"/>
        <color theme="1"/>
        <rFont val="Calibri"/>
        <family val="2"/>
        <scheme val="minor"/>
      </rPr>
      <t xml:space="preserve"> the code in the </t>
    </r>
    <r>
      <rPr>
        <b/>
        <sz val="11"/>
        <color theme="1"/>
        <rFont val="Calibri"/>
        <family val="2"/>
        <scheme val="minor"/>
      </rPr>
      <t>Purchase Value</t>
    </r>
    <r>
      <rPr>
        <sz val="11"/>
        <color theme="1"/>
        <rFont val="Calibri"/>
        <family val="2"/>
        <scheme val="minor"/>
      </rPr>
      <t xml:space="preserve"> column for the amount paid for the stock (price paid x Volume)</t>
    </r>
  </si>
  <si>
    <r>
      <t xml:space="preserve">b. For the </t>
    </r>
    <r>
      <rPr>
        <b/>
        <sz val="11"/>
        <color theme="1"/>
        <rFont val="Calibri"/>
        <family val="2"/>
        <scheme val="minor"/>
      </rPr>
      <t>Gain Value</t>
    </r>
    <r>
      <rPr>
        <sz val="11"/>
        <color theme="1"/>
        <rFont val="Calibri"/>
        <family val="2"/>
        <scheme val="minor"/>
      </rPr>
      <t xml:space="preserve"> column, </t>
    </r>
    <r>
      <rPr>
        <b/>
        <sz val="11"/>
        <color rgb="FFFF0000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here the positive gain in value (Last price less Price Paid) x volume, otherwise, if not a gain report 0</t>
    </r>
  </si>
  <si>
    <r>
      <t xml:space="preserve">c. For the </t>
    </r>
    <r>
      <rPr>
        <b/>
        <sz val="11"/>
        <color theme="1"/>
        <rFont val="Calibri"/>
        <family val="2"/>
        <scheme val="minor"/>
      </rPr>
      <t>Loss Value</t>
    </r>
    <r>
      <rPr>
        <sz val="11"/>
        <color theme="1"/>
        <rFont val="Calibri"/>
        <family val="2"/>
        <scheme val="minor"/>
      </rPr>
      <t xml:space="preserve"> column, </t>
    </r>
    <r>
      <rPr>
        <b/>
        <sz val="11"/>
        <color rgb="FFFF0000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here the positive value of the loss in value otherwise, if not a loss report 0</t>
    </r>
  </si>
  <si>
    <t>Which student scored the High Distinction for the EXCEL course?</t>
  </si>
  <si>
    <r>
      <rPr>
        <b/>
        <sz val="11"/>
        <color rgb="FFFF0000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whether or not any of the conditional logic formulas was used here and </t>
    </r>
    <r>
      <rPr>
        <b/>
        <sz val="11"/>
        <color rgb="FFFF0000"/>
        <rFont val="Calibri"/>
        <family val="2"/>
        <scheme val="minor"/>
      </rPr>
      <t>give a reason.</t>
    </r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</si>
  <si>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total of the </t>
    </r>
    <r>
      <rPr>
        <b/>
        <sz val="11"/>
        <rFont val="Calibri"/>
        <family val="2"/>
        <scheme val="minor"/>
      </rPr>
      <t>Gain Values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</si>
  <si>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total of the </t>
    </r>
    <r>
      <rPr>
        <b/>
        <sz val="11"/>
        <rFont val="Calibri"/>
        <family val="2"/>
        <scheme val="minor"/>
      </rPr>
      <t>Loss Values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</si>
  <si>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r>
      <rPr>
        <sz val="11"/>
        <rFont val="Calibri"/>
        <family val="2"/>
        <scheme val="minor"/>
      </rPr>
      <t xml:space="preserve">If the number of items remaining in stock after this order falls below the reorder level </t>
    </r>
    <r>
      <rPr>
        <b/>
        <sz val="11"/>
        <color rgb="FFFF0000"/>
        <rFont val="Calibri"/>
        <family val="2"/>
        <scheme val="minor"/>
      </rPr>
      <t>report "Running low - think about reordering"</t>
    </r>
    <r>
      <rPr>
        <sz val="11"/>
        <rFont val="Calibri"/>
        <family val="2"/>
        <scheme val="minor"/>
      </rPr>
      <t>.</t>
    </r>
  </si>
  <si>
    <r>
      <t xml:space="preserve">to source the item. For this column, check whether the client is waiting on items and </t>
    </r>
    <r>
      <rPr>
        <b/>
        <sz val="11"/>
        <color rgb="FFFF0000"/>
        <rFont val="Calibri"/>
        <family val="2"/>
        <scheme val="minor"/>
      </rPr>
      <t>report "Order immediately for client"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</si>
  <si>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Post Delivery Alerts</t>
    </r>
    <r>
      <rPr>
        <sz val="11"/>
        <color theme="1"/>
        <rFont val="Calibri"/>
        <family val="2"/>
        <scheme val="minor"/>
      </rPr>
      <t xml:space="preserve"> column will be sent to the Sales team who will organise to buy more stock. They need to be alerted if a client is waiting for an item so that they can apply their best effort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</si>
  <si>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Comment</t>
    </r>
    <r>
      <rPr>
        <sz val="11"/>
        <color theme="1"/>
        <rFont val="Calibri"/>
        <family val="2"/>
        <scheme val="minor"/>
      </rPr>
      <t xml:space="preserve"> column, place a comment for the items that could only be partly filled, due to not having enough in stock. </t>
    </r>
    <r>
      <rPr>
        <b/>
        <sz val="11"/>
        <color rgb="FFFF0000"/>
        <rFont val="Calibri"/>
        <family val="2"/>
        <scheme val="minor"/>
      </rPr>
      <t>Report with the comment "Partial fill - out of stock"</t>
    </r>
  </si>
  <si>
    <t>How many students failed?</t>
  </si>
  <si>
    <t>What three assessments did these students not perform well at that led to their failing?</t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</si>
  <si>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</t>
    </r>
    <r>
      <rPr>
        <b/>
        <sz val="11"/>
        <rFont val="Calibri"/>
        <family val="2"/>
        <scheme val="minor"/>
      </rPr>
      <t>Net Gain (or Loss)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</si>
  <si>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t>No</t>
  </si>
  <si>
    <t>is only a product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</si>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</sst>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00%"/>
    <numFmt numFmtId="167" formatCode="&quot;$&quot;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</cellStyleXfs>
  <cellXfs count="86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0" fontId="1" fillId="0" borderId="0" xfId="3"/>
    <xf numFmtId="0" fontId="1" fillId="0" borderId="2" xfId="3" applyBorder="1"/>
    <xf numFmtId="0" fontId="6" fillId="0" borderId="0" xfId="5"/>
    <xf numFmtId="0" fontId="8" fillId="0" borderId="0" xfId="6" applyFont="1" applyBorder="1"/>
    <xf numFmtId="0" fontId="9" fillId="0" borderId="6" xfId="3" applyFont="1" applyBorder="1"/>
    <xf numFmtId="0" fontId="10" fillId="0" borderId="0" xfId="3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3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6" applyFont="1" applyBorder="1" applyAlignment="1">
      <alignment horizontal="left" indent="3"/>
    </xf>
    <xf numFmtId="0" fontId="9" fillId="0" borderId="6" xfId="3" applyFont="1" applyBorder="1" applyAlignment="1">
      <alignment horizontal="left" indent="3"/>
    </xf>
    <xf numFmtId="167" fontId="0" fillId="0" borderId="0" xfId="1" applyNumberFormat="1" applyFont="1"/>
    <xf numFmtId="167" fontId="0" fillId="0" borderId="0" xfId="0" applyNumberFormat="1"/>
    <xf numFmtId="0" fontId="0" fillId="0" borderId="8" xfId="0" applyBorder="1"/>
    <xf numFmtId="167" fontId="0" fillId="0" borderId="8" xfId="1" applyNumberFormat="1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3" applyFont="1" applyAlignment="1">
      <alignment horizontal="left" indent="3"/>
    </xf>
    <xf numFmtId="0" fontId="0" fillId="0" borderId="0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2" xfId="0" applyFill="1" applyBorder="1"/>
    <xf numFmtId="0" fontId="0" fillId="3" borderId="30" xfId="0" applyFill="1" applyBorder="1"/>
    <xf numFmtId="167" fontId="0" fillId="3" borderId="0" xfId="1" applyNumberFormat="1" applyFont="1" applyFill="1"/>
    <xf numFmtId="167" fontId="0" fillId="3" borderId="15" xfId="0" applyNumberFormat="1" applyFill="1" applyBorder="1"/>
    <xf numFmtId="167" fontId="0" fillId="3" borderId="9" xfId="0" applyNumberFormat="1" applyFill="1" applyBorder="1"/>
    <xf numFmtId="0" fontId="0" fillId="3" borderId="29" xfId="0" applyFill="1" applyBorder="1" applyAlignment="1">
      <alignment horizontal="center"/>
    </xf>
    <xf numFmtId="0" fontId="0" fillId="0" borderId="0" xfId="0" applyFont="1"/>
    <xf numFmtId="0" fontId="0" fillId="0" borderId="0" xfId="3" applyFont="1"/>
    <xf numFmtId="0" fontId="0" fillId="3" borderId="7" xfId="3" applyFont="1" applyFill="1" applyBorder="1"/>
    <xf numFmtId="0" fontId="0" fillId="3" borderId="33" xfId="3" applyFont="1" applyFill="1" applyBorder="1" applyAlignment="1">
      <alignment horizontal="center"/>
    </xf>
    <xf numFmtId="0" fontId="11" fillId="0" borderId="0" xfId="3" applyFont="1"/>
    <xf numFmtId="0" fontId="0" fillId="3" borderId="7" xfId="3" applyFont="1" applyFill="1" applyBorder="1" applyAlignment="1">
      <alignment horizontal="center"/>
    </xf>
    <xf numFmtId="167" fontId="0" fillId="3" borderId="7" xfId="3" applyNumberFormat="1" applyFont="1" applyFill="1" applyBorder="1"/>
    <xf numFmtId="0" fontId="0" fillId="0" borderId="0" xfId="3" applyFont="1" applyAlignment="1">
      <alignment horizontal="left" indent="1"/>
    </xf>
    <xf numFmtId="0" fontId="11" fillId="0" borderId="0" xfId="3" applyFont="1" applyAlignment="1">
      <alignment horizontal="left" indent="1"/>
    </xf>
    <xf numFmtId="0" fontId="0" fillId="3" borderId="3" xfId="3" applyFont="1" applyFill="1" applyBorder="1" applyAlignment="1">
      <alignment horizontal="center"/>
    </xf>
    <xf numFmtId="0" fontId="0" fillId="3" borderId="5" xfId="3" applyFont="1" applyFill="1" applyBorder="1" applyAlignment="1">
      <alignment horizontal="center"/>
    </xf>
    <xf numFmtId="0" fontId="0" fillId="3" borderId="4" xfId="3" applyFont="1" applyFill="1" applyBorder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7" fontId="0" fillId="3" borderId="10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</cellXfs>
  <cellStyles count="7">
    <cellStyle name="Currency" xfId="1" builtinId="4"/>
    <cellStyle name="MQ Heading 1" xfId="6" xr:uid="{00000000-0005-0000-0000-000001000000}"/>
    <cellStyle name="Normal" xfId="0" builtinId="0"/>
    <cellStyle name="Normal 2 2" xfId="3" xr:uid="{00000000-0005-0000-0000-000003000000}"/>
    <cellStyle name="Normal 4" xfId="5" xr:uid="{00000000-0005-0000-0000-000004000000}"/>
    <cellStyle name="Percent" xfId="2" builtinId="5"/>
    <cellStyle name="Title 2" xfId="4" xr:uid="{00000000-0005-0000-0000-000006000000}"/>
  </cellStyles>
  <dxfs count="1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178970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tabSelected="1" topLeftCell="A28" zoomScaleNormal="100" workbookViewId="0">
      <selection activeCell="L56" sqref="L56"/>
    </sheetView>
  </sheetViews>
  <sheetFormatPr defaultColWidth="9.85546875" defaultRowHeight="15"/>
  <cols>
    <col min="1" max="1" width="9.85546875" style="11"/>
    <col min="2" max="2" width="9.85546875" style="3"/>
    <col min="3" max="3" width="15.85546875" style="3" customWidth="1"/>
    <col min="4" max="4" width="12.7109375" style="3" customWidth="1"/>
    <col min="5" max="6" width="9.85546875" style="3"/>
    <col min="7" max="7" width="11" style="3" customWidth="1"/>
    <col min="8" max="8" width="19.140625" style="3" customWidth="1"/>
    <col min="9" max="9" width="3.7109375" style="3" customWidth="1"/>
    <col min="10" max="10" width="3.85546875" style="3" customWidth="1"/>
    <col min="11" max="12" width="12.28515625" style="3" customWidth="1"/>
    <col min="13" max="13" width="47.42578125" style="3" customWidth="1"/>
    <col min="14" max="14" width="4.42578125" style="3" customWidth="1"/>
    <col min="15" max="15" width="4" style="3" customWidth="1"/>
    <col min="16" max="16" width="12.28515625" style="3" customWidth="1"/>
    <col min="17" max="16384" width="9.85546875" style="3"/>
  </cols>
  <sheetData>
    <row r="1" spans="1:16">
      <c r="H1" s="4"/>
    </row>
    <row r="2" spans="1:16" ht="34.5">
      <c r="H2" s="76" t="s">
        <v>3</v>
      </c>
      <c r="I2" s="77"/>
      <c r="J2" s="77"/>
      <c r="K2" s="77"/>
      <c r="L2" s="77"/>
      <c r="M2" s="77"/>
      <c r="N2" s="77"/>
      <c r="O2" s="77"/>
      <c r="P2" s="77"/>
    </row>
    <row r="3" spans="1:16">
      <c r="H3" s="4"/>
    </row>
    <row r="4" spans="1:16" ht="30">
      <c r="H4" s="78" t="s">
        <v>4</v>
      </c>
      <c r="I4" s="79"/>
      <c r="J4" s="79"/>
      <c r="K4" s="79"/>
      <c r="L4" s="79"/>
      <c r="M4" s="79"/>
      <c r="N4" s="79"/>
      <c r="O4" s="79"/>
      <c r="P4" s="79"/>
    </row>
    <row r="5" spans="1:16" ht="15.75" thickBot="1">
      <c r="H5" s="4"/>
    </row>
    <row r="6" spans="1:16" ht="32.25" thickBot="1">
      <c r="H6" s="4"/>
      <c r="I6" s="80" t="s">
        <v>1</v>
      </c>
      <c r="J6" s="81"/>
      <c r="K6" s="81"/>
      <c r="L6" s="81"/>
      <c r="M6" s="81"/>
      <c r="N6" s="81"/>
      <c r="O6" s="82"/>
      <c r="P6" s="5"/>
    </row>
    <row r="7" spans="1:16" customFormat="1">
      <c r="A7" s="12"/>
    </row>
    <row r="8" spans="1:16" customFormat="1">
      <c r="A8" s="12"/>
    </row>
    <row r="9" spans="1:16" customFormat="1">
      <c r="A9" s="12"/>
    </row>
    <row r="10" spans="1:16" ht="18.75" thickBot="1">
      <c r="A10" s="13" t="s">
        <v>11</v>
      </c>
      <c r="B10" s="6"/>
      <c r="C10" s="6"/>
      <c r="D10" s="6"/>
      <c r="E10" s="6"/>
      <c r="F10" s="6"/>
      <c r="G10" s="6"/>
      <c r="H10" s="5"/>
      <c r="I10"/>
      <c r="J10"/>
      <c r="K10"/>
      <c r="L10"/>
      <c r="M10"/>
      <c r="N10"/>
      <c r="O10"/>
      <c r="P10"/>
    </row>
    <row r="11" spans="1:16" ht="12.6" customHeight="1" thickTop="1">
      <c r="A11" s="14"/>
      <c r="B11" s="7"/>
      <c r="C11" s="7"/>
      <c r="D11" s="7"/>
      <c r="E11" s="7"/>
      <c r="F11" s="7"/>
      <c r="G11" s="7"/>
      <c r="H11" s="7"/>
      <c r="I11"/>
      <c r="J11"/>
      <c r="K11"/>
      <c r="L11"/>
      <c r="M11"/>
      <c r="N11"/>
      <c r="O11"/>
      <c r="P11"/>
    </row>
    <row r="12" spans="1:16" ht="65.25" customHeight="1">
      <c r="B12" s="83" t="s">
        <v>5</v>
      </c>
      <c r="C12" s="83"/>
      <c r="D12" s="83"/>
      <c r="E12" s="83"/>
      <c r="F12" s="83"/>
      <c r="G12" s="83"/>
      <c r="H12" s="83"/>
      <c r="I12" s="10"/>
      <c r="J12" s="10"/>
      <c r="K12" s="10"/>
      <c r="L12" s="10"/>
      <c r="M12" s="10"/>
      <c r="N12" s="10"/>
      <c r="O12" s="10"/>
    </row>
    <row r="13" spans="1:16" customFormat="1" ht="9" customHeight="1">
      <c r="A13" s="12"/>
    </row>
    <row r="14" spans="1:16" customFormat="1" ht="5.45" customHeight="1">
      <c r="A14" s="12"/>
    </row>
    <row r="15" spans="1:16" ht="18.75" thickBot="1">
      <c r="A15" s="13" t="s">
        <v>2</v>
      </c>
      <c r="B15" s="6"/>
      <c r="C15" s="6"/>
      <c r="D15" s="6"/>
      <c r="E15" s="6"/>
      <c r="F15" s="6"/>
      <c r="G15" s="6"/>
      <c r="H15" s="5"/>
      <c r="I15" s="8"/>
      <c r="M15" s="9"/>
    </row>
    <row r="16" spans="1:16" ht="10.5" customHeight="1" thickTop="1">
      <c r="A16" s="14"/>
      <c r="B16" s="7"/>
      <c r="C16" s="7"/>
      <c r="D16" s="7"/>
      <c r="E16" s="7"/>
      <c r="F16" s="7"/>
      <c r="G16" s="7"/>
      <c r="H16" s="7"/>
      <c r="I16" s="8"/>
    </row>
    <row r="17" spans="1:13" customFormat="1">
      <c r="A17" s="24" t="s">
        <v>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customFormat="1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customFormat="1">
      <c r="A19" t="s">
        <v>6</v>
      </c>
      <c r="B19" s="64" t="s">
        <v>7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customFormat="1">
      <c r="B20" s="64" t="s">
        <v>8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1:13" customFormat="1">
      <c r="B21" s="64" t="s">
        <v>103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customFormat="1" ht="15.75" thickBot="1">
      <c r="B22" s="65" t="s">
        <v>104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1:13" customFormat="1" ht="15.75" thickBot="1">
      <c r="B23" s="71" t="s">
        <v>108</v>
      </c>
      <c r="C23" s="65"/>
      <c r="D23" s="65"/>
      <c r="E23" s="65"/>
      <c r="F23" s="65"/>
      <c r="G23" s="65"/>
      <c r="H23" s="65"/>
      <c r="I23" s="65"/>
      <c r="J23" s="65"/>
      <c r="K23" s="66" t="s">
        <v>118</v>
      </c>
      <c r="L23" s="65" t="s">
        <v>33</v>
      </c>
      <c r="M23" s="66" t="s">
        <v>119</v>
      </c>
    </row>
    <row r="24" spans="1:13" customFormat="1" ht="15.75" thickBot="1">
      <c r="B24" s="65" t="s">
        <v>105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3" customFormat="1" ht="15.75" thickBot="1">
      <c r="B25" s="71" t="s">
        <v>109</v>
      </c>
      <c r="C25" s="65"/>
      <c r="D25" s="65"/>
      <c r="E25" s="65"/>
      <c r="F25" s="65"/>
      <c r="G25" s="65"/>
      <c r="H25" s="70">
        <v>16088.03</v>
      </c>
      <c r="I25" s="65"/>
      <c r="J25" s="65"/>
      <c r="K25" s="65"/>
      <c r="L25" s="65"/>
      <c r="M25" s="65"/>
    </row>
    <row r="26" spans="1:13" customFormat="1" ht="15.75" thickBot="1">
      <c r="B26" s="65" t="s">
        <v>106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</row>
    <row r="27" spans="1:13" customFormat="1" ht="15.75" thickBot="1">
      <c r="B27" s="71" t="s">
        <v>110</v>
      </c>
      <c r="C27" s="65"/>
      <c r="D27" s="65"/>
      <c r="E27" s="65"/>
      <c r="F27" s="65"/>
      <c r="G27" s="65"/>
      <c r="H27" s="70">
        <v>41728.93</v>
      </c>
      <c r="I27" s="65"/>
      <c r="J27" s="65"/>
      <c r="K27" s="65"/>
      <c r="L27" s="65"/>
      <c r="M27" s="65"/>
    </row>
    <row r="28" spans="1:13" customFormat="1" ht="15.75" thickBot="1">
      <c r="B28" s="71" t="s">
        <v>117</v>
      </c>
      <c r="C28" s="65"/>
      <c r="D28" s="65"/>
      <c r="E28" s="65"/>
      <c r="F28" s="65"/>
      <c r="G28" s="65"/>
      <c r="H28" s="70">
        <v>-25640.9</v>
      </c>
      <c r="I28" s="65"/>
      <c r="J28" s="65"/>
      <c r="K28" s="65"/>
      <c r="L28" s="65"/>
      <c r="M28" s="65"/>
    </row>
    <row r="29" spans="1:13" customFormat="1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spans="1:13" customFormat="1">
      <c r="A30" t="s">
        <v>9</v>
      </c>
      <c r="B30" s="64" t="s">
        <v>65</v>
      </c>
      <c r="C30" s="64"/>
      <c r="D30" s="64"/>
      <c r="E30" s="64"/>
      <c r="F30" s="64"/>
      <c r="G30" s="64"/>
      <c r="H30" s="65"/>
      <c r="I30" s="65"/>
      <c r="J30" s="65"/>
      <c r="K30" s="65"/>
      <c r="L30" s="65"/>
      <c r="M30" s="65"/>
    </row>
    <row r="31" spans="1:13" customFormat="1">
      <c r="B31" s="64" t="s">
        <v>32</v>
      </c>
      <c r="C31" s="64"/>
      <c r="D31" s="64"/>
      <c r="E31" s="64"/>
      <c r="F31" s="64"/>
      <c r="G31" s="64"/>
      <c r="H31" s="65"/>
      <c r="I31" s="65"/>
      <c r="J31" s="65"/>
      <c r="K31" s="65"/>
      <c r="L31" s="65"/>
      <c r="M31" s="65"/>
    </row>
    <row r="32" spans="1:13" customFormat="1">
      <c r="B32" s="64" t="s">
        <v>66</v>
      </c>
      <c r="C32" s="64"/>
      <c r="D32" s="64"/>
      <c r="E32" s="64"/>
      <c r="F32" s="64"/>
      <c r="G32" s="64"/>
      <c r="H32" s="65"/>
      <c r="I32" s="65"/>
      <c r="J32" s="65"/>
      <c r="K32" s="65"/>
      <c r="L32" s="65"/>
      <c r="M32" s="65"/>
    </row>
    <row r="33" spans="1:13" customFormat="1" ht="15.75" thickBot="1">
      <c r="B33" s="64" t="s">
        <v>67</v>
      </c>
      <c r="C33" s="64"/>
      <c r="D33" s="64"/>
      <c r="E33" s="64"/>
      <c r="F33" s="64"/>
      <c r="G33" s="64"/>
      <c r="H33" s="65"/>
      <c r="I33" s="65"/>
      <c r="J33" s="65"/>
      <c r="K33" s="65"/>
      <c r="L33" s="65"/>
      <c r="M33" s="65"/>
    </row>
    <row r="34" spans="1:13" customFormat="1" ht="15.75" thickBot="1">
      <c r="B34" s="64" t="s">
        <v>107</v>
      </c>
      <c r="C34" s="64"/>
      <c r="D34" s="64"/>
      <c r="E34" s="64"/>
      <c r="F34" s="64"/>
      <c r="G34" s="64"/>
      <c r="H34" s="73" t="s">
        <v>61</v>
      </c>
      <c r="I34" s="75"/>
      <c r="J34" s="75"/>
      <c r="K34" s="74"/>
      <c r="L34" s="65"/>
      <c r="M34" s="65"/>
    </row>
    <row r="35" spans="1:13" customFormat="1" ht="15.75" thickBot="1">
      <c r="B35" s="64" t="s">
        <v>115</v>
      </c>
      <c r="C35" s="64"/>
      <c r="D35" s="64"/>
      <c r="E35" s="64"/>
      <c r="F35" s="64"/>
      <c r="G35" s="64"/>
      <c r="H35" s="67">
        <v>3</v>
      </c>
      <c r="I35" s="65"/>
      <c r="J35" s="65"/>
      <c r="K35" s="65"/>
      <c r="L35" s="65"/>
      <c r="M35" s="65"/>
    </row>
    <row r="36" spans="1:13" customFormat="1" ht="15.75" thickBot="1">
      <c r="B36" s="64" t="s">
        <v>116</v>
      </c>
      <c r="C36" s="64"/>
      <c r="D36" s="64"/>
      <c r="E36" s="64"/>
      <c r="F36" s="64"/>
      <c r="G36" s="64"/>
      <c r="H36" s="65"/>
      <c r="I36" s="65"/>
      <c r="J36" s="65"/>
      <c r="K36" s="65"/>
      <c r="L36" s="65"/>
      <c r="M36" s="65"/>
    </row>
    <row r="37" spans="1:13" customFormat="1" ht="15.75" thickBot="1">
      <c r="B37" s="64"/>
      <c r="C37" s="64"/>
      <c r="D37" s="64"/>
      <c r="E37" s="64"/>
      <c r="F37" s="64"/>
      <c r="G37" s="64"/>
      <c r="H37" s="73" t="s">
        <v>40</v>
      </c>
      <c r="I37" s="74"/>
      <c r="J37" s="65"/>
      <c r="K37" s="65"/>
      <c r="L37" s="65"/>
      <c r="M37" s="65"/>
    </row>
    <row r="38" spans="1:13" customFormat="1" ht="15.75" thickBot="1">
      <c r="B38" s="64"/>
      <c r="C38" s="64"/>
      <c r="D38" s="64"/>
      <c r="E38" s="64"/>
      <c r="F38" s="64"/>
      <c r="G38" s="64"/>
      <c r="H38" s="65"/>
      <c r="I38" s="65"/>
      <c r="J38" s="65"/>
      <c r="K38" s="65"/>
      <c r="L38" s="65"/>
      <c r="M38" s="65"/>
    </row>
    <row r="39" spans="1:13" customFormat="1" ht="15.75" thickBot="1">
      <c r="B39" s="64"/>
      <c r="C39" s="64"/>
      <c r="D39" s="64"/>
      <c r="E39" s="64"/>
      <c r="F39" s="64"/>
      <c r="G39" s="64"/>
      <c r="H39" s="73" t="s">
        <v>42</v>
      </c>
      <c r="I39" s="74"/>
      <c r="J39" s="65"/>
      <c r="K39" s="65"/>
      <c r="L39" s="65"/>
      <c r="M39" s="65"/>
    </row>
    <row r="40" spans="1:13" customFormat="1" ht="15.75" thickBot="1">
      <c r="B40" s="64"/>
      <c r="C40" s="64"/>
      <c r="D40" s="64"/>
      <c r="E40" s="64"/>
      <c r="F40" s="64"/>
      <c r="G40" s="64"/>
      <c r="H40" s="65"/>
      <c r="I40" s="65"/>
      <c r="J40" s="65"/>
      <c r="K40" s="65"/>
      <c r="L40" s="65"/>
      <c r="M40" s="65"/>
    </row>
    <row r="41" spans="1:13" customFormat="1" ht="15.75" thickBot="1">
      <c r="B41" s="64"/>
      <c r="C41" s="64"/>
      <c r="D41" s="64"/>
      <c r="E41" s="64"/>
      <c r="F41" s="64"/>
      <c r="G41" s="64" t="s">
        <v>68</v>
      </c>
      <c r="H41" s="73" t="s">
        <v>120</v>
      </c>
      <c r="I41" s="74"/>
      <c r="J41" s="65"/>
      <c r="K41" s="65"/>
      <c r="L41" s="65"/>
      <c r="M41" s="65"/>
    </row>
    <row r="42" spans="1:13">
      <c r="A42"/>
      <c r="B42" s="64"/>
      <c r="C42" s="64"/>
      <c r="D42" s="64"/>
      <c r="E42" s="64"/>
      <c r="F42" s="64"/>
      <c r="G42" s="64"/>
      <c r="H42" s="65"/>
      <c r="I42" s="65"/>
      <c r="J42" s="65"/>
      <c r="K42" s="65"/>
      <c r="L42" s="65"/>
      <c r="M42" s="65"/>
    </row>
    <row r="43" spans="1:13">
      <c r="A43" t="s">
        <v>10</v>
      </c>
      <c r="B43" s="65" t="s">
        <v>69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</row>
    <row r="44" spans="1:13">
      <c r="A44"/>
      <c r="B44" s="65" t="s">
        <v>70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</row>
    <row r="45" spans="1:13">
      <c r="A45"/>
      <c r="B45" s="68" t="s">
        <v>102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</row>
    <row r="46" spans="1:13">
      <c r="A46"/>
      <c r="B46" s="65" t="s">
        <v>114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</row>
    <row r="47" spans="1:13">
      <c r="A47"/>
      <c r="B47" s="65" t="s">
        <v>113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</row>
    <row r="48" spans="1:13">
      <c r="A48"/>
      <c r="B48" s="71" t="s">
        <v>112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</row>
    <row r="49" spans="1:13" ht="15.75" thickBot="1">
      <c r="A49"/>
      <c r="B49" s="72" t="s">
        <v>111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</row>
    <row r="50" spans="1:13" ht="15.75" thickBot="1">
      <c r="A50"/>
      <c r="B50" s="65" t="s">
        <v>99</v>
      </c>
      <c r="C50" s="65"/>
      <c r="D50" s="65"/>
      <c r="E50" s="65"/>
      <c r="F50" s="65"/>
      <c r="G50" s="65"/>
      <c r="H50" s="65"/>
      <c r="I50" s="65"/>
      <c r="J50" s="65"/>
      <c r="K50" s="69">
        <v>3</v>
      </c>
      <c r="L50" s="65"/>
      <c r="M50" s="65"/>
    </row>
    <row r="51" spans="1:13" ht="15.75" thickBot="1">
      <c r="A51"/>
      <c r="B51" s="65" t="s">
        <v>100</v>
      </c>
      <c r="C51" s="65"/>
      <c r="D51" s="65"/>
      <c r="E51" s="65"/>
      <c r="F51" s="65"/>
      <c r="G51" s="65"/>
      <c r="H51" s="65"/>
      <c r="I51" s="65"/>
      <c r="J51" s="65"/>
      <c r="K51" s="69">
        <v>1</v>
      </c>
      <c r="L51" s="65"/>
      <c r="M51" s="65"/>
    </row>
    <row r="52" spans="1:13">
      <c r="A52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</row>
    <row r="53" spans="1:13">
      <c r="A53" t="s">
        <v>101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</row>
  </sheetData>
  <mergeCells count="8">
    <mergeCell ref="H37:I37"/>
    <mergeCell ref="H39:I39"/>
    <mergeCell ref="H41:I41"/>
    <mergeCell ref="H34:K34"/>
    <mergeCell ref="H2:P2"/>
    <mergeCell ref="H4:P4"/>
    <mergeCell ref="I6:O6"/>
    <mergeCell ref="B12:H12"/>
  </mergeCells>
  <conditionalFormatting sqref="H25">
    <cfRule type="cellIs" dxfId="9" priority="1" operator="between">
      <formula>16088</formula>
      <formula>16089</formula>
    </cfRule>
  </conditionalFormatting>
  <conditionalFormatting sqref="H27">
    <cfRule type="cellIs" dxfId="8" priority="2" operator="between">
      <formula>41728</formula>
      <formula>41729</formula>
    </cfRule>
  </conditionalFormatting>
  <conditionalFormatting sqref="H28">
    <cfRule type="cellIs" dxfId="7" priority="3" operator="between">
      <formula>-25641</formula>
      <formula>-25640</formula>
    </cfRule>
  </conditionalFormatting>
  <conditionalFormatting sqref="H34:K34">
    <cfRule type="cellIs" dxfId="6" priority="4" operator="equal">
      <formula>"Rosanne Kollums"</formula>
    </cfRule>
  </conditionalFormatting>
  <conditionalFormatting sqref="H35">
    <cfRule type="cellIs" dxfId="5" priority="5" operator="equal">
      <formula>3</formula>
    </cfRule>
  </conditionalFormatting>
  <conditionalFormatting sqref="H37:I37">
    <cfRule type="expression" dxfId="4" priority="6">
      <formula>AND(OR(H37="Challenge",H37="Practice",H37="Attendance"),H37&lt;&gt;H39,H37&lt;&gt;H41)</formula>
    </cfRule>
  </conditionalFormatting>
  <conditionalFormatting sqref="H39:I39">
    <cfRule type="expression" dxfId="3" priority="7">
      <formula>AND(OR(H39="Challenge",H39="Practice",H39="Attendance"),H37&lt;&gt;H39,H39&lt;&gt;H41)</formula>
    </cfRule>
  </conditionalFormatting>
  <conditionalFormatting sqref="H41:I41">
    <cfRule type="expression" dxfId="2" priority="8">
      <formula>AND(OR(H41="Challenge",H41="Practice",H41="Attendance"),H37&lt;&gt;H41,H39&lt;&gt;H41)</formula>
    </cfRule>
  </conditionalFormatting>
  <conditionalFormatting sqref="K50">
    <cfRule type="cellIs" dxfId="1" priority="9" operator="equal">
      <formula>3</formula>
    </cfRule>
  </conditionalFormatting>
  <conditionalFormatting sqref="K51">
    <cfRule type="cellIs" dxfId="0" priority="10" operator="equal">
      <formula>1</formula>
    </cfRule>
  </conditionalFormatting>
  <dataValidations count="1">
    <dataValidation type="list" allowBlank="1" showInputMessage="1" showErrorMessage="1" sqref="H37:I37 H39:I39 H41:I41" xr:uid="{00000000-0002-0000-0000-000000000000}">
      <formula1>"Quiz no1,Quiz no2,Quiz no3,Quiz no4,Challenge,Practice,Attendance"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22"/>
  <sheetViews>
    <sheetView zoomScaleNormal="100" workbookViewId="0">
      <selection activeCell="Z9" sqref="Z9:AC9"/>
    </sheetView>
  </sheetViews>
  <sheetFormatPr defaultRowHeight="15" outlineLevelCol="1"/>
  <cols>
    <col min="1" max="1" width="8.42578125" customWidth="1"/>
    <col min="2" max="3" width="8.42578125" hidden="1" customWidth="1" outlineLevel="1"/>
    <col min="4" max="4" width="11.140625" style="1" hidden="1" customWidth="1" outlineLevel="1"/>
    <col min="5" max="5" width="10.28515625" hidden="1" customWidth="1" outlineLevel="1"/>
    <col min="6" max="6" width="16.85546875" hidden="1" customWidth="1" outlineLevel="1"/>
    <col min="7" max="8" width="21.28515625" hidden="1" customWidth="1" outlineLevel="1"/>
    <col min="9" max="9" width="9.140625" collapsed="1"/>
    <col min="11" max="11" width="19.140625" hidden="1" customWidth="1" outlineLevel="1"/>
    <col min="12" max="18" width="9.140625" hidden="1" customWidth="1" outlineLevel="1"/>
    <col min="19" max="19" width="2.42578125" hidden="1" customWidth="1" outlineLevel="1"/>
    <col min="20" max="20" width="9.140625" hidden="1" customWidth="1" outlineLevel="1"/>
    <col min="21" max="21" width="15.42578125" hidden="1" customWidth="1" outlineLevel="1"/>
    <col min="22" max="22" width="2.5703125" hidden="1" customWidth="1" outlineLevel="1"/>
    <col min="23" max="23" width="9.140625" collapsed="1"/>
    <col min="25" max="25" width="19.140625" customWidth="1" outlineLevel="1"/>
    <col min="26" max="26" width="15.42578125" customWidth="1" outlineLevel="1"/>
    <col min="27" max="27" width="11.85546875" customWidth="1" outlineLevel="1"/>
    <col min="28" max="28" width="3" customWidth="1" outlineLevel="1"/>
    <col min="29" max="30" width="9.140625" customWidth="1" outlineLevel="1"/>
    <col min="31" max="31" width="30.7109375" customWidth="1" outlineLevel="1"/>
    <col min="32" max="32" width="3.140625" customWidth="1" outlineLevel="1"/>
    <col min="33" max="33" width="34.140625" customWidth="1" outlineLevel="1"/>
  </cols>
  <sheetData>
    <row r="1" spans="1:33" ht="15.75" thickBot="1">
      <c r="A1" t="s">
        <v>29</v>
      </c>
      <c r="J1" t="s">
        <v>9</v>
      </c>
      <c r="X1" t="s">
        <v>10</v>
      </c>
    </row>
    <row r="2" spans="1:33" ht="15.75" thickBot="1">
      <c r="B2" s="19" t="s">
        <v>12</v>
      </c>
      <c r="C2" s="20" t="s">
        <v>0</v>
      </c>
      <c r="D2" s="21" t="s">
        <v>13</v>
      </c>
      <c r="E2" s="20" t="s">
        <v>14</v>
      </c>
      <c r="F2" s="20" t="s">
        <v>27</v>
      </c>
      <c r="G2" s="20" t="s">
        <v>15</v>
      </c>
      <c r="H2" s="22" t="s">
        <v>16</v>
      </c>
      <c r="O2" s="26" t="s">
        <v>46</v>
      </c>
      <c r="P2" s="27"/>
      <c r="Q2" s="27"/>
      <c r="R2" s="28"/>
    </row>
    <row r="3" spans="1:33" ht="16.5" thickTop="1" thickBot="1">
      <c r="B3" t="s">
        <v>17</v>
      </c>
      <c r="C3">
        <v>12653</v>
      </c>
      <c r="D3" s="15">
        <v>1.45</v>
      </c>
      <c r="E3" s="15">
        <v>1.52</v>
      </c>
      <c r="F3" s="60">
        <f>C3*D3</f>
        <v>18346.849999999999</v>
      </c>
      <c r="G3" s="60">
        <f>IF(E3-D3 &lt;= 0,0,(E3-D3)*C3)</f>
        <v>885.71000000000083</v>
      </c>
      <c r="H3" s="60">
        <f>IF(D3&gt;E3,(D3-E3)*C3,0)</f>
        <v>0</v>
      </c>
      <c r="O3" s="33" t="s">
        <v>47</v>
      </c>
      <c r="P3" s="34" t="s">
        <v>48</v>
      </c>
      <c r="Q3" s="33" t="s">
        <v>45</v>
      </c>
      <c r="R3" s="35"/>
      <c r="Y3" s="51" t="s">
        <v>71</v>
      </c>
      <c r="Z3" s="54" t="s">
        <v>87</v>
      </c>
      <c r="AA3" s="54" t="s">
        <v>90</v>
      </c>
      <c r="AB3" s="27"/>
      <c r="AC3" s="54" t="s">
        <v>97</v>
      </c>
      <c r="AD3" s="54" t="s">
        <v>93</v>
      </c>
      <c r="AE3" s="51" t="s">
        <v>94</v>
      </c>
      <c r="AF3" s="27"/>
      <c r="AG3" s="51" t="s">
        <v>95</v>
      </c>
    </row>
    <row r="4" spans="1:33">
      <c r="B4" t="s">
        <v>18</v>
      </c>
      <c r="C4">
        <v>451</v>
      </c>
      <c r="D4" s="15">
        <v>152.5</v>
      </c>
      <c r="E4" s="15">
        <v>130</v>
      </c>
      <c r="F4" s="60">
        <f t="shared" ref="F4:F12" si="0">C4*D4</f>
        <v>68777.5</v>
      </c>
      <c r="G4" s="60">
        <f t="shared" ref="G4:G12" si="1">IF(E4-D4 &lt;= 0,0,(E4-D4)*C4)</f>
        <v>0</v>
      </c>
      <c r="H4" s="60">
        <f t="shared" ref="H4:H12" si="2">IF(D4&gt;E4,(D4-E4)*C4,0)</f>
        <v>10147.5</v>
      </c>
      <c r="L4" s="2"/>
      <c r="O4" s="36">
        <v>0</v>
      </c>
      <c r="P4" s="37">
        <v>49</v>
      </c>
      <c r="Q4" s="29" t="s">
        <v>49</v>
      </c>
      <c r="R4" s="30"/>
      <c r="Y4" s="52"/>
      <c r="Z4" s="55" t="s">
        <v>72</v>
      </c>
      <c r="AA4" s="55" t="s">
        <v>91</v>
      </c>
      <c r="AB4" s="29"/>
      <c r="AC4" s="55" t="s">
        <v>98</v>
      </c>
      <c r="AD4" s="55"/>
      <c r="AE4" s="52"/>
      <c r="AF4" s="29"/>
      <c r="AG4" s="52" t="s">
        <v>96</v>
      </c>
    </row>
    <row r="5" spans="1:33" ht="15.75" thickBot="1">
      <c r="B5" t="s">
        <v>19</v>
      </c>
      <c r="C5">
        <v>78495</v>
      </c>
      <c r="D5" s="15">
        <v>0.89</v>
      </c>
      <c r="E5" s="15">
        <v>0.92</v>
      </c>
      <c r="F5" s="60">
        <f t="shared" si="0"/>
        <v>69860.55</v>
      </c>
      <c r="G5" s="60">
        <f t="shared" si="1"/>
        <v>2354.8500000000022</v>
      </c>
      <c r="H5" s="60">
        <f t="shared" si="2"/>
        <v>0</v>
      </c>
      <c r="L5" s="2"/>
      <c r="O5" s="38">
        <v>50</v>
      </c>
      <c r="P5" s="39">
        <v>64</v>
      </c>
      <c r="Q5" s="29" t="s">
        <v>50</v>
      </c>
      <c r="R5" s="30"/>
      <c r="Y5" s="53"/>
      <c r="Z5" s="56"/>
      <c r="AA5" s="56" t="s">
        <v>92</v>
      </c>
      <c r="AB5" s="31"/>
      <c r="AC5" s="56"/>
      <c r="AD5" s="56"/>
      <c r="AE5" s="53"/>
      <c r="AF5" s="31"/>
      <c r="AG5" s="53"/>
    </row>
    <row r="6" spans="1:33">
      <c r="B6" t="s">
        <v>20</v>
      </c>
      <c r="C6">
        <v>2265</v>
      </c>
      <c r="D6" s="15">
        <v>1.45</v>
      </c>
      <c r="E6" s="15">
        <v>1.36</v>
      </c>
      <c r="F6" s="60">
        <f t="shared" si="0"/>
        <v>3284.25</v>
      </c>
      <c r="G6" s="60">
        <f t="shared" si="1"/>
        <v>0</v>
      </c>
      <c r="H6" s="60">
        <f t="shared" si="2"/>
        <v>203.84999999999968</v>
      </c>
      <c r="L6" s="2"/>
      <c r="O6" s="38">
        <v>65</v>
      </c>
      <c r="P6" s="39">
        <v>74</v>
      </c>
      <c r="Q6" s="29" t="s">
        <v>51</v>
      </c>
      <c r="R6" s="30"/>
      <c r="Y6" s="52" t="s">
        <v>73</v>
      </c>
      <c r="Z6" s="55">
        <v>25</v>
      </c>
      <c r="AA6" s="55">
        <v>5</v>
      </c>
      <c r="AC6" s="55">
        <v>6</v>
      </c>
      <c r="AD6" s="57">
        <f>IF(Z6&gt;=AC6,AC6,Z6)</f>
        <v>6</v>
      </c>
      <c r="AE6" s="58" t="str">
        <f>IF(Z6&gt;=AC6,"","Partial fill - out of stock")</f>
        <v/>
      </c>
      <c r="AG6" s="58" t="str">
        <f>IF(Z6&gt;=AC6,IF(Z6-AC6&lt;AA6,"Running low - think about reordering","Todo Good"),"Order immediately for client")</f>
        <v>Todo Good</v>
      </c>
    </row>
    <row r="7" spans="1:33">
      <c r="B7" t="s">
        <v>21</v>
      </c>
      <c r="C7">
        <v>14775</v>
      </c>
      <c r="D7" s="15">
        <v>2.15</v>
      </c>
      <c r="E7" s="15">
        <v>2.27</v>
      </c>
      <c r="F7" s="60">
        <f t="shared" si="0"/>
        <v>31766.25</v>
      </c>
      <c r="G7" s="60">
        <f t="shared" si="1"/>
        <v>1773.0000000000016</v>
      </c>
      <c r="H7" s="60">
        <f t="shared" si="2"/>
        <v>0</v>
      </c>
      <c r="L7" s="2"/>
      <c r="O7" s="38">
        <v>75</v>
      </c>
      <c r="P7" s="39">
        <v>84</v>
      </c>
      <c r="Q7" s="29" t="s">
        <v>52</v>
      </c>
      <c r="R7" s="30"/>
      <c r="Y7" s="52" t="s">
        <v>74</v>
      </c>
      <c r="Z7" s="55">
        <v>15</v>
      </c>
      <c r="AA7" s="55">
        <v>5</v>
      </c>
      <c r="AC7" s="55">
        <v>6</v>
      </c>
      <c r="AD7" s="57">
        <f t="shared" ref="AD7:AD21" si="3">IF(Z7&gt;=AC7,AC7,Z7)</f>
        <v>6</v>
      </c>
      <c r="AE7" s="58" t="str">
        <f t="shared" ref="AE7:AE21" si="4">IF(Z7&gt;=AC7,"","Partial fill - out of stock")</f>
        <v/>
      </c>
      <c r="AG7" s="58" t="str">
        <f t="shared" ref="AG7:AG21" si="5">IF(Z7&gt;=AC7,IF(Z7-AC7&lt;AA7,"Running low - think about reordering","Todo Good"),"Order immediately for client")</f>
        <v>Todo Good</v>
      </c>
    </row>
    <row r="8" spans="1:33" ht="15.75" thickBot="1">
      <c r="B8" t="s">
        <v>22</v>
      </c>
      <c r="C8">
        <v>35356</v>
      </c>
      <c r="D8" s="15">
        <v>3.6</v>
      </c>
      <c r="E8" s="15">
        <v>3.52</v>
      </c>
      <c r="F8" s="60">
        <f t="shared" si="0"/>
        <v>127281.60000000001</v>
      </c>
      <c r="G8" s="60">
        <f t="shared" si="1"/>
        <v>0</v>
      </c>
      <c r="H8" s="60">
        <f t="shared" si="2"/>
        <v>2828.4800000000023</v>
      </c>
      <c r="O8" s="40">
        <v>85</v>
      </c>
      <c r="P8" s="41">
        <v>100</v>
      </c>
      <c r="Q8" s="31" t="s">
        <v>53</v>
      </c>
      <c r="R8" s="32"/>
      <c r="Y8" s="52" t="s">
        <v>75</v>
      </c>
      <c r="Z8" s="55">
        <v>16</v>
      </c>
      <c r="AA8" s="55">
        <v>5</v>
      </c>
      <c r="AC8" s="55">
        <v>6</v>
      </c>
      <c r="AD8" s="57">
        <f t="shared" si="3"/>
        <v>6</v>
      </c>
      <c r="AE8" s="58" t="str">
        <f t="shared" si="4"/>
        <v/>
      </c>
      <c r="AG8" s="58" t="str">
        <f t="shared" si="5"/>
        <v>Todo Good</v>
      </c>
    </row>
    <row r="9" spans="1:33">
      <c r="B9" t="s">
        <v>23</v>
      </c>
      <c r="C9">
        <v>9977</v>
      </c>
      <c r="D9" s="15">
        <v>8.15</v>
      </c>
      <c r="E9" s="15">
        <v>9.26</v>
      </c>
      <c r="F9" s="60">
        <f t="shared" si="0"/>
        <v>81312.55</v>
      </c>
      <c r="G9" s="60">
        <f t="shared" si="1"/>
        <v>11074.469999999994</v>
      </c>
      <c r="H9" s="60">
        <f t="shared" si="2"/>
        <v>0</v>
      </c>
      <c r="Y9" s="52" t="s">
        <v>76</v>
      </c>
      <c r="Z9" s="55">
        <v>4</v>
      </c>
      <c r="AA9" s="55">
        <v>2</v>
      </c>
      <c r="AC9" s="55">
        <v>6</v>
      </c>
      <c r="AD9" s="57">
        <f t="shared" si="3"/>
        <v>4</v>
      </c>
      <c r="AE9" s="58" t="str">
        <f t="shared" si="4"/>
        <v>Partial fill - out of stock</v>
      </c>
      <c r="AG9" s="58" t="str">
        <f t="shared" si="5"/>
        <v>Order immediately for client</v>
      </c>
    </row>
    <row r="10" spans="1:33">
      <c r="B10" t="s">
        <v>24</v>
      </c>
      <c r="C10">
        <v>1000</v>
      </c>
      <c r="D10" s="15">
        <v>30.05</v>
      </c>
      <c r="E10" s="15">
        <v>29.8</v>
      </c>
      <c r="F10" s="60">
        <f t="shared" si="0"/>
        <v>30050</v>
      </c>
      <c r="G10" s="60">
        <f t="shared" si="1"/>
        <v>0</v>
      </c>
      <c r="H10" s="60">
        <f t="shared" si="2"/>
        <v>250</v>
      </c>
      <c r="K10" s="43" t="s">
        <v>34</v>
      </c>
      <c r="L10" s="25" t="s">
        <v>35</v>
      </c>
      <c r="M10" s="25" t="s">
        <v>36</v>
      </c>
      <c r="N10" s="25" t="s">
        <v>37</v>
      </c>
      <c r="O10" s="25" t="s">
        <v>39</v>
      </c>
      <c r="P10" s="25" t="s">
        <v>40</v>
      </c>
      <c r="Q10" s="25" t="s">
        <v>42</v>
      </c>
      <c r="R10" s="25" t="s">
        <v>43</v>
      </c>
      <c r="S10" s="29"/>
      <c r="T10" s="47" t="s">
        <v>28</v>
      </c>
      <c r="U10" s="48" t="s">
        <v>45</v>
      </c>
      <c r="Y10" s="52" t="s">
        <v>77</v>
      </c>
      <c r="Z10" s="55">
        <v>9</v>
      </c>
      <c r="AA10" s="55">
        <v>5</v>
      </c>
      <c r="AC10" s="55">
        <v>6</v>
      </c>
      <c r="AD10" s="57">
        <f t="shared" si="3"/>
        <v>6</v>
      </c>
      <c r="AE10" s="58" t="str">
        <f t="shared" si="4"/>
        <v/>
      </c>
      <c r="AG10" s="58" t="str">
        <f t="shared" si="5"/>
        <v>Running low - think about reordering</v>
      </c>
    </row>
    <row r="11" spans="1:33" ht="15.75" thickBot="1">
      <c r="B11" t="s">
        <v>25</v>
      </c>
      <c r="C11">
        <v>589</v>
      </c>
      <c r="D11" s="15">
        <v>58.9</v>
      </c>
      <c r="E11" s="15">
        <v>15</v>
      </c>
      <c r="F11" s="60">
        <f t="shared" si="0"/>
        <v>34692.1</v>
      </c>
      <c r="G11" s="60">
        <f t="shared" si="1"/>
        <v>0</v>
      </c>
      <c r="H11" s="60">
        <f t="shared" si="2"/>
        <v>25857.1</v>
      </c>
      <c r="K11" s="44"/>
      <c r="L11" s="42" t="s">
        <v>38</v>
      </c>
      <c r="M11" s="42" t="s">
        <v>38</v>
      </c>
      <c r="N11" s="42" t="s">
        <v>38</v>
      </c>
      <c r="O11" s="42" t="s">
        <v>38</v>
      </c>
      <c r="P11" s="42" t="s">
        <v>41</v>
      </c>
      <c r="Q11" s="42" t="s">
        <v>41</v>
      </c>
      <c r="R11" s="42" t="s">
        <v>41</v>
      </c>
      <c r="S11" s="17"/>
      <c r="T11" s="49" t="s">
        <v>44</v>
      </c>
      <c r="U11" s="50"/>
      <c r="Y11" s="52" t="s">
        <v>78</v>
      </c>
      <c r="Z11" s="55">
        <v>3</v>
      </c>
      <c r="AA11" s="55">
        <v>2</v>
      </c>
      <c r="AC11" s="55">
        <v>6</v>
      </c>
      <c r="AD11" s="57">
        <f t="shared" si="3"/>
        <v>3</v>
      </c>
      <c r="AE11" s="58" t="str">
        <f t="shared" si="4"/>
        <v>Partial fill - out of stock</v>
      </c>
      <c r="AG11" s="58" t="str">
        <f t="shared" si="5"/>
        <v>Order immediately for client</v>
      </c>
    </row>
    <row r="12" spans="1:33" ht="16.5" thickTop="1" thickBot="1">
      <c r="B12" s="17" t="s">
        <v>26</v>
      </c>
      <c r="C12" s="17">
        <v>222</v>
      </c>
      <c r="D12" s="18">
        <v>111</v>
      </c>
      <c r="E12" s="18">
        <v>100</v>
      </c>
      <c r="F12" s="60">
        <f t="shared" si="0"/>
        <v>24642</v>
      </c>
      <c r="G12" s="60">
        <f t="shared" si="1"/>
        <v>0</v>
      </c>
      <c r="H12" s="60">
        <f t="shared" si="2"/>
        <v>2442</v>
      </c>
      <c r="K12" s="45" t="s">
        <v>54</v>
      </c>
      <c r="L12">
        <v>8</v>
      </c>
      <c r="M12">
        <v>7</v>
      </c>
      <c r="N12">
        <v>8</v>
      </c>
      <c r="O12">
        <v>9</v>
      </c>
      <c r="P12">
        <v>11</v>
      </c>
      <c r="Q12">
        <v>12</v>
      </c>
      <c r="R12">
        <v>20</v>
      </c>
      <c r="T12" s="63">
        <f>SUM(L12:R12)</f>
        <v>75</v>
      </c>
      <c r="U12" s="59" t="str">
        <f>IF(T12&lt;=49,$Q$4,IF(T12&lt;=64,$Q$5,IF(T12&lt;=74,$Q$6,IF(T12&lt;=84,$Q$7,$Q$8))))</f>
        <v>Distinction</v>
      </c>
      <c r="Y12" s="52" t="s">
        <v>79</v>
      </c>
      <c r="Z12" s="55">
        <v>14</v>
      </c>
      <c r="AA12" s="55">
        <v>5</v>
      </c>
      <c r="AC12" s="55">
        <v>6</v>
      </c>
      <c r="AD12" s="57">
        <f t="shared" si="3"/>
        <v>6</v>
      </c>
      <c r="AE12" s="58" t="str">
        <f t="shared" si="4"/>
        <v/>
      </c>
      <c r="AG12" s="58" t="str">
        <f t="shared" si="5"/>
        <v>Todo Good</v>
      </c>
    </row>
    <row r="13" spans="1:33" ht="16.5" thickTop="1" thickBot="1">
      <c r="D13" s="15"/>
      <c r="E13" s="16"/>
      <c r="F13" s="61"/>
      <c r="G13" s="62">
        <f>SUM(G3:G12)</f>
        <v>16088.029999999999</v>
      </c>
      <c r="H13" s="62">
        <f>SUM(H3:H12)</f>
        <v>41728.93</v>
      </c>
      <c r="K13" s="45" t="s">
        <v>55</v>
      </c>
      <c r="L13">
        <v>6</v>
      </c>
      <c r="M13">
        <v>10</v>
      </c>
      <c r="N13">
        <v>7</v>
      </c>
      <c r="O13">
        <v>3</v>
      </c>
      <c r="P13">
        <v>18</v>
      </c>
      <c r="Q13">
        <v>13</v>
      </c>
      <c r="R13">
        <v>13</v>
      </c>
      <c r="T13" s="63">
        <f t="shared" ref="T13:T22" si="6">SUM(L13:R13)</f>
        <v>70</v>
      </c>
      <c r="U13" s="59" t="str">
        <f t="shared" ref="U13:U22" si="7">IF(T13&lt;=49,$Q$4,IF(T13&lt;=64,$Q$5,IF(T13&lt;=74,$Q$6,IF(T13&lt;=84,$Q$7,$Q$8))))</f>
        <v>Credit</v>
      </c>
      <c r="Y13" s="52" t="s">
        <v>80</v>
      </c>
      <c r="Z13" s="55">
        <v>5</v>
      </c>
      <c r="AA13" s="55">
        <v>2</v>
      </c>
      <c r="AC13" s="55">
        <v>6</v>
      </c>
      <c r="AD13" s="57">
        <f t="shared" si="3"/>
        <v>5</v>
      </c>
      <c r="AE13" s="58" t="str">
        <f t="shared" si="4"/>
        <v>Partial fill - out of stock</v>
      </c>
      <c r="AG13" s="58" t="str">
        <f t="shared" si="5"/>
        <v>Order immediately for client</v>
      </c>
    </row>
    <row r="14" spans="1:33" ht="16.5" thickTop="1" thickBot="1">
      <c r="F14" s="23" t="s">
        <v>30</v>
      </c>
      <c r="G14" s="84">
        <f>G13-H13</f>
        <v>-25640.9</v>
      </c>
      <c r="H14" s="85"/>
      <c r="K14" s="45" t="s">
        <v>56</v>
      </c>
      <c r="L14">
        <v>9</v>
      </c>
      <c r="M14">
        <v>5</v>
      </c>
      <c r="N14">
        <v>10</v>
      </c>
      <c r="O14">
        <v>3</v>
      </c>
      <c r="P14">
        <v>12</v>
      </c>
      <c r="Q14">
        <v>15</v>
      </c>
      <c r="R14">
        <v>18</v>
      </c>
      <c r="T14" s="63">
        <f t="shared" si="6"/>
        <v>72</v>
      </c>
      <c r="U14" s="59" t="str">
        <f t="shared" si="7"/>
        <v>Credit</v>
      </c>
      <c r="Y14" s="52" t="s">
        <v>81</v>
      </c>
      <c r="Z14" s="55">
        <v>7</v>
      </c>
      <c r="AA14" s="55">
        <v>5</v>
      </c>
      <c r="AC14" s="55">
        <v>1</v>
      </c>
      <c r="AD14" s="57">
        <f t="shared" si="3"/>
        <v>1</v>
      </c>
      <c r="AE14" s="58" t="str">
        <f t="shared" si="4"/>
        <v/>
      </c>
      <c r="AG14" s="58" t="str">
        <f t="shared" si="5"/>
        <v>Todo Good</v>
      </c>
    </row>
    <row r="15" spans="1:33">
      <c r="K15" s="45" t="s">
        <v>57</v>
      </c>
      <c r="L15">
        <v>9</v>
      </c>
      <c r="M15">
        <v>3</v>
      </c>
      <c r="N15">
        <v>10</v>
      </c>
      <c r="O15">
        <v>3</v>
      </c>
      <c r="P15">
        <v>20</v>
      </c>
      <c r="Q15">
        <v>17</v>
      </c>
      <c r="R15">
        <v>17</v>
      </c>
      <c r="T15" s="63">
        <f t="shared" si="6"/>
        <v>79</v>
      </c>
      <c r="U15" s="59" t="str">
        <f t="shared" si="7"/>
        <v>Distinction</v>
      </c>
      <c r="Y15" s="52" t="s">
        <v>82</v>
      </c>
      <c r="Z15" s="55">
        <v>3</v>
      </c>
      <c r="AA15" s="55">
        <v>2</v>
      </c>
      <c r="AC15" s="55">
        <v>0</v>
      </c>
      <c r="AD15" s="57">
        <f t="shared" si="3"/>
        <v>0</v>
      </c>
      <c r="AE15" s="58" t="str">
        <f t="shared" si="4"/>
        <v/>
      </c>
      <c r="AG15" s="58" t="str">
        <f t="shared" si="5"/>
        <v>Todo Good</v>
      </c>
    </row>
    <row r="16" spans="1:33">
      <c r="K16" s="45" t="s">
        <v>58</v>
      </c>
      <c r="L16">
        <v>4</v>
      </c>
      <c r="M16">
        <v>4</v>
      </c>
      <c r="N16">
        <v>6</v>
      </c>
      <c r="O16">
        <v>8</v>
      </c>
      <c r="P16">
        <v>11</v>
      </c>
      <c r="Q16">
        <v>20</v>
      </c>
      <c r="R16">
        <v>19</v>
      </c>
      <c r="T16" s="63">
        <f t="shared" si="6"/>
        <v>72</v>
      </c>
      <c r="U16" s="59" t="str">
        <f t="shared" si="7"/>
        <v>Credit</v>
      </c>
      <c r="Y16" s="52" t="s">
        <v>83</v>
      </c>
      <c r="Z16" s="55">
        <v>7</v>
      </c>
      <c r="AA16" s="55">
        <v>2</v>
      </c>
      <c r="AC16" s="55">
        <v>0</v>
      </c>
      <c r="AD16" s="57">
        <f t="shared" si="3"/>
        <v>0</v>
      </c>
      <c r="AE16" s="58" t="str">
        <f t="shared" si="4"/>
        <v/>
      </c>
      <c r="AG16" s="58" t="str">
        <f t="shared" si="5"/>
        <v>Todo Good</v>
      </c>
    </row>
    <row r="17" spans="11:33">
      <c r="K17" s="45" t="s">
        <v>59</v>
      </c>
      <c r="L17">
        <v>5</v>
      </c>
      <c r="M17">
        <v>10</v>
      </c>
      <c r="N17">
        <v>4</v>
      </c>
      <c r="O17">
        <v>3</v>
      </c>
      <c r="P17">
        <v>20</v>
      </c>
      <c r="Q17">
        <v>18</v>
      </c>
      <c r="R17">
        <v>15</v>
      </c>
      <c r="T17" s="63">
        <f t="shared" si="6"/>
        <v>75</v>
      </c>
      <c r="U17" s="59" t="str">
        <f t="shared" si="7"/>
        <v>Distinction</v>
      </c>
      <c r="Y17" s="52" t="s">
        <v>84</v>
      </c>
      <c r="Z17" s="55">
        <v>14</v>
      </c>
      <c r="AA17" s="55">
        <v>5</v>
      </c>
      <c r="AC17" s="55">
        <v>6</v>
      </c>
      <c r="AD17" s="57">
        <f t="shared" si="3"/>
        <v>6</v>
      </c>
      <c r="AE17" s="58" t="str">
        <f t="shared" si="4"/>
        <v/>
      </c>
      <c r="AG17" s="58" t="str">
        <f t="shared" si="5"/>
        <v>Todo Good</v>
      </c>
    </row>
    <row r="18" spans="11:33">
      <c r="K18" s="45" t="s">
        <v>60</v>
      </c>
      <c r="L18">
        <v>8</v>
      </c>
      <c r="M18">
        <v>3</v>
      </c>
      <c r="N18">
        <v>5</v>
      </c>
      <c r="O18">
        <v>3</v>
      </c>
      <c r="P18">
        <v>20</v>
      </c>
      <c r="Q18">
        <v>17</v>
      </c>
      <c r="R18">
        <v>13</v>
      </c>
      <c r="T18" s="63">
        <f t="shared" si="6"/>
        <v>69</v>
      </c>
      <c r="U18" s="59" t="str">
        <f t="shared" si="7"/>
        <v>Credit</v>
      </c>
      <c r="Y18" s="52" t="s">
        <v>85</v>
      </c>
      <c r="Z18" s="55">
        <v>16</v>
      </c>
      <c r="AA18" s="55">
        <v>5</v>
      </c>
      <c r="AC18" s="55">
        <v>3</v>
      </c>
      <c r="AD18" s="57">
        <f t="shared" si="3"/>
        <v>3</v>
      </c>
      <c r="AE18" s="58" t="str">
        <f t="shared" si="4"/>
        <v/>
      </c>
      <c r="AG18" s="58" t="str">
        <f t="shared" si="5"/>
        <v>Todo Good</v>
      </c>
    </row>
    <row r="19" spans="11:33">
      <c r="K19" s="45" t="s">
        <v>61</v>
      </c>
      <c r="L19">
        <v>9</v>
      </c>
      <c r="M19">
        <v>8</v>
      </c>
      <c r="N19">
        <v>9</v>
      </c>
      <c r="O19">
        <v>10</v>
      </c>
      <c r="P19">
        <v>19</v>
      </c>
      <c r="Q19">
        <v>20</v>
      </c>
      <c r="R19">
        <v>20</v>
      </c>
      <c r="T19" s="63">
        <f t="shared" si="6"/>
        <v>95</v>
      </c>
      <c r="U19" s="59" t="str">
        <f t="shared" si="7"/>
        <v>High Distinction</v>
      </c>
      <c r="Y19" s="52" t="s">
        <v>86</v>
      </c>
      <c r="Z19" s="55">
        <v>18</v>
      </c>
      <c r="AA19" s="55">
        <v>5</v>
      </c>
      <c r="AC19" s="55">
        <v>3</v>
      </c>
      <c r="AD19" s="57">
        <f t="shared" si="3"/>
        <v>3</v>
      </c>
      <c r="AE19" s="58" t="str">
        <f t="shared" si="4"/>
        <v/>
      </c>
      <c r="AG19" s="58" t="str">
        <f t="shared" si="5"/>
        <v>Todo Good</v>
      </c>
    </row>
    <row r="20" spans="11:33">
      <c r="K20" s="45" t="s">
        <v>62</v>
      </c>
      <c r="L20">
        <v>5</v>
      </c>
      <c r="M20">
        <v>7</v>
      </c>
      <c r="N20">
        <v>6</v>
      </c>
      <c r="O20">
        <v>8</v>
      </c>
      <c r="P20">
        <v>11</v>
      </c>
      <c r="Q20">
        <v>6</v>
      </c>
      <c r="R20">
        <v>2</v>
      </c>
      <c r="T20" s="63">
        <f t="shared" si="6"/>
        <v>45</v>
      </c>
      <c r="U20" s="59" t="str">
        <f t="shared" si="7"/>
        <v>Fail</v>
      </c>
      <c r="Y20" s="52" t="s">
        <v>88</v>
      </c>
      <c r="Z20" s="55">
        <v>5</v>
      </c>
      <c r="AA20" s="55">
        <v>2</v>
      </c>
      <c r="AC20" s="55">
        <v>1</v>
      </c>
      <c r="AD20" s="57">
        <f t="shared" si="3"/>
        <v>1</v>
      </c>
      <c r="AE20" s="58" t="str">
        <f t="shared" si="4"/>
        <v/>
      </c>
      <c r="AG20" s="58" t="str">
        <f t="shared" si="5"/>
        <v>Todo Good</v>
      </c>
    </row>
    <row r="21" spans="11:33" ht="15.75" thickBot="1">
      <c r="K21" s="45" t="s">
        <v>63</v>
      </c>
      <c r="L21">
        <v>7</v>
      </c>
      <c r="M21">
        <v>6</v>
      </c>
      <c r="N21">
        <v>5</v>
      </c>
      <c r="O21">
        <v>7</v>
      </c>
      <c r="P21">
        <v>3</v>
      </c>
      <c r="Q21">
        <v>10</v>
      </c>
      <c r="R21">
        <v>10</v>
      </c>
      <c r="T21" s="63">
        <f t="shared" si="6"/>
        <v>48</v>
      </c>
      <c r="U21" s="59" t="str">
        <f t="shared" si="7"/>
        <v>Fail</v>
      </c>
      <c r="Y21" s="53" t="s">
        <v>89</v>
      </c>
      <c r="Z21" s="56">
        <v>14</v>
      </c>
      <c r="AA21" s="56">
        <v>5</v>
      </c>
      <c r="AC21" s="56">
        <v>2</v>
      </c>
      <c r="AD21" s="57">
        <f t="shared" si="3"/>
        <v>2</v>
      </c>
      <c r="AE21" s="58" t="str">
        <f t="shared" si="4"/>
        <v/>
      </c>
      <c r="AG21" s="58" t="str">
        <f t="shared" si="5"/>
        <v>Todo Good</v>
      </c>
    </row>
    <row r="22" spans="11:33">
      <c r="K22" s="46" t="s">
        <v>64</v>
      </c>
      <c r="L22">
        <v>10</v>
      </c>
      <c r="M22">
        <v>6</v>
      </c>
      <c r="N22">
        <v>5</v>
      </c>
      <c r="O22">
        <v>7</v>
      </c>
      <c r="P22">
        <v>13</v>
      </c>
      <c r="Q22">
        <v>5</v>
      </c>
      <c r="R22">
        <v>3</v>
      </c>
      <c r="T22" s="63">
        <f t="shared" si="6"/>
        <v>49</v>
      </c>
      <c r="U22" s="59" t="str">
        <f t="shared" si="7"/>
        <v>Fail</v>
      </c>
      <c r="AD22" s="57">
        <f>SUM(AD6:AD21)</f>
        <v>58</v>
      </c>
    </row>
  </sheetData>
  <sortState xmlns:xlrd2="http://schemas.microsoft.com/office/spreadsheetml/2017/richdata2" ref="A2:I201">
    <sortCondition ref="A1"/>
  </sortState>
  <mergeCells count="1"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Russell Tito</cp:lastModifiedBy>
  <dcterms:created xsi:type="dcterms:W3CDTF">2017-08-19T09:21:06Z</dcterms:created>
  <dcterms:modified xsi:type="dcterms:W3CDTF">2026-10-22T00:03:44Z</dcterms:modified>
</cp:coreProperties>
</file>