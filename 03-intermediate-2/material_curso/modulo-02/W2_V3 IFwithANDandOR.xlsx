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2\"/>
    </mc:Choice>
  </mc:AlternateContent>
  <xr:revisionPtr revIDLastSave="0" documentId="13_ncr:1_{9CC25CD8-4B24-42F0-991C-7A0375B0AA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Data" sheetId="2" r:id="rId1"/>
    <sheet name="BPa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2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8" i="2"/>
  <c r="F8" i="2" l="1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/>
  <c r="F78" i="2"/>
  <c r="G78" i="2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/>
  <c r="F105" i="2"/>
  <c r="G105" i="2" s="1"/>
  <c r="F106" i="2"/>
  <c r="G106" i="2" s="1"/>
  <c r="F107" i="2"/>
  <c r="G107" i="2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/>
  <c r="F261" i="2"/>
  <c r="G261" i="2" s="1"/>
  <c r="F262" i="2"/>
  <c r="G262" i="2" s="1"/>
  <c r="F263" i="2"/>
  <c r="G263" i="2" s="1"/>
  <c r="F264" i="2"/>
  <c r="G264" i="2"/>
  <c r="F265" i="2"/>
  <c r="G265" i="2" s="1"/>
  <c r="F266" i="2"/>
  <c r="G266" i="2" s="1"/>
  <c r="F267" i="2"/>
  <c r="G267" i="2" s="1"/>
  <c r="F268" i="2"/>
  <c r="G268" i="2" s="1"/>
  <c r="F269" i="2"/>
  <c r="G269" i="2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M8" i="2" l="1"/>
  <c r="M9" i="2"/>
  <c r="M10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Q9" i="2"/>
  <c r="D7" i="1"/>
  <c r="M11" i="2" s="1"/>
  <c r="L8" i="2"/>
  <c r="L10" i="2"/>
  <c r="L14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346" i="2"/>
  <c r="L350" i="2"/>
  <c r="L354" i="2"/>
  <c r="L358" i="2"/>
  <c r="L362" i="2"/>
  <c r="L366" i="2"/>
  <c r="L370" i="2"/>
  <c r="L374" i="2"/>
  <c r="L378" i="2"/>
  <c r="L382" i="2"/>
  <c r="L386" i="2"/>
  <c r="L390" i="2"/>
  <c r="L394" i="2"/>
  <c r="L398" i="2"/>
  <c r="L402" i="2"/>
  <c r="L406" i="2"/>
  <c r="L410" i="2"/>
  <c r="L414" i="2"/>
  <c r="L418" i="2"/>
  <c r="L422" i="2"/>
  <c r="L426" i="2"/>
  <c r="L430" i="2"/>
  <c r="L434" i="2"/>
  <c r="L438" i="2"/>
  <c r="L442" i="2"/>
  <c r="L446" i="2"/>
  <c r="L450" i="2"/>
  <c r="L454" i="2"/>
  <c r="L458" i="2"/>
  <c r="L462" i="2"/>
  <c r="L466" i="2"/>
  <c r="L470" i="2"/>
  <c r="L474" i="2"/>
  <c r="L478" i="2"/>
  <c r="L482" i="2"/>
  <c r="L486" i="2"/>
  <c r="L490" i="2"/>
  <c r="L494" i="2"/>
  <c r="L498" i="2"/>
  <c r="L502" i="2"/>
  <c r="L506" i="2"/>
  <c r="L510" i="2"/>
  <c r="L514" i="2"/>
  <c r="L518" i="2"/>
  <c r="L522" i="2"/>
  <c r="L526" i="2"/>
  <c r="L530" i="2"/>
  <c r="L534" i="2"/>
  <c r="L538" i="2"/>
  <c r="L542" i="2"/>
  <c r="L546" i="2"/>
  <c r="L550" i="2"/>
  <c r="L554" i="2"/>
  <c r="L558" i="2"/>
  <c r="L562" i="2"/>
  <c r="L566" i="2"/>
  <c r="L570" i="2"/>
  <c r="L574" i="2"/>
  <c r="L578" i="2"/>
  <c r="L582" i="2"/>
  <c r="L586" i="2"/>
  <c r="L590" i="2"/>
  <c r="L594" i="2"/>
  <c r="L598" i="2"/>
  <c r="L602" i="2"/>
  <c r="L606" i="2"/>
  <c r="L610" i="2"/>
  <c r="L614" i="2"/>
  <c r="L618" i="2"/>
  <c r="L622" i="2"/>
  <c r="L626" i="2"/>
  <c r="L630" i="2"/>
  <c r="L634" i="2"/>
  <c r="L638" i="2"/>
  <c r="L642" i="2"/>
  <c r="L646" i="2"/>
  <c r="L650" i="2"/>
  <c r="L654" i="2"/>
  <c r="L658" i="2"/>
  <c r="Q8" i="2" l="1"/>
  <c r="L652" i="2"/>
  <c r="L644" i="2"/>
  <c r="L636" i="2"/>
  <c r="L628" i="2"/>
  <c r="L620" i="2"/>
  <c r="L612" i="2"/>
  <c r="L596" i="2"/>
  <c r="L588" i="2"/>
  <c r="L580" i="2"/>
  <c r="L572" i="2"/>
  <c r="L564" i="2"/>
  <c r="L556" i="2"/>
  <c r="L548" i="2"/>
  <c r="L540" i="2"/>
  <c r="L532" i="2"/>
  <c r="L524" i="2"/>
  <c r="L516" i="2"/>
  <c r="L508" i="2"/>
  <c r="L500" i="2"/>
  <c r="L492" i="2"/>
  <c r="L484" i="2"/>
  <c r="L476" i="2"/>
  <c r="L468" i="2"/>
  <c r="L460" i="2"/>
  <c r="L452" i="2"/>
  <c r="L444" i="2"/>
  <c r="L436" i="2"/>
  <c r="L428" i="2"/>
  <c r="L420" i="2"/>
  <c r="L412" i="2"/>
  <c r="L404" i="2"/>
  <c r="L396" i="2"/>
  <c r="L388" i="2"/>
  <c r="L380" i="2"/>
  <c r="L372" i="2"/>
  <c r="L364" i="2"/>
  <c r="L356" i="2"/>
  <c r="L348" i="2"/>
  <c r="L340" i="2"/>
  <c r="L332" i="2"/>
  <c r="L324" i="2"/>
  <c r="L316" i="2"/>
  <c r="L308" i="2"/>
  <c r="L300" i="2"/>
  <c r="L292" i="2"/>
  <c r="L284" i="2"/>
  <c r="L276" i="2"/>
  <c r="L268" i="2"/>
  <c r="L260" i="2"/>
  <c r="L252" i="2"/>
  <c r="L244" i="2"/>
  <c r="L236" i="2"/>
  <c r="L228" i="2"/>
  <c r="L220" i="2"/>
  <c r="L212" i="2"/>
  <c r="L204" i="2"/>
  <c r="L196" i="2"/>
  <c r="L188" i="2"/>
  <c r="L180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604" i="2"/>
  <c r="L608" i="2"/>
  <c r="L600" i="2"/>
  <c r="L592" i="2"/>
  <c r="L584" i="2"/>
  <c r="L576" i="2"/>
  <c r="L568" i="2"/>
  <c r="L560" i="2"/>
  <c r="L552" i="2"/>
  <c r="L544" i="2"/>
  <c r="L480" i="2"/>
  <c r="L416" i="2"/>
  <c r="L352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657" i="2"/>
  <c r="L649" i="2"/>
  <c r="L641" i="2"/>
  <c r="L633" i="2"/>
  <c r="L625" i="2"/>
  <c r="L617" i="2"/>
  <c r="L609" i="2"/>
  <c r="L601" i="2"/>
  <c r="L593" i="2"/>
  <c r="L585" i="2"/>
  <c r="L577" i="2"/>
  <c r="L569" i="2"/>
  <c r="L561" i="2"/>
  <c r="L553" i="2"/>
  <c r="L545" i="2"/>
  <c r="L537" i="2"/>
  <c r="L529" i="2"/>
  <c r="L521" i="2"/>
  <c r="L513" i="2"/>
  <c r="L505" i="2"/>
  <c r="L497" i="2"/>
  <c r="L489" i="2"/>
  <c r="L481" i="2"/>
  <c r="L473" i="2"/>
  <c r="L465" i="2"/>
  <c r="L457" i="2"/>
  <c r="L449" i="2"/>
  <c r="L441" i="2"/>
  <c r="L433" i="2"/>
  <c r="L425" i="2"/>
  <c r="L417" i="2"/>
  <c r="L409" i="2"/>
  <c r="L401" i="2"/>
  <c r="L393" i="2"/>
  <c r="L385" i="2"/>
  <c r="L377" i="2"/>
  <c r="L369" i="2"/>
  <c r="L361" i="2"/>
  <c r="L353" i="2"/>
  <c r="L345" i="2"/>
  <c r="L337" i="2"/>
  <c r="L329" i="2"/>
  <c r="L321" i="2"/>
  <c r="L313" i="2"/>
  <c r="L305" i="2"/>
  <c r="L297" i="2"/>
  <c r="L289" i="2"/>
  <c r="L281" i="2"/>
  <c r="L273" i="2"/>
  <c r="L265" i="2"/>
  <c r="L257" i="2"/>
  <c r="L249" i="2"/>
  <c r="L241" i="2"/>
  <c r="L233" i="2"/>
  <c r="L225" i="2"/>
  <c r="L217" i="2"/>
  <c r="L209" i="2"/>
  <c r="L201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33" i="2"/>
  <c r="L25" i="2"/>
  <c r="L17" i="2"/>
  <c r="L9" i="2"/>
  <c r="L653" i="2"/>
  <c r="L645" i="2"/>
  <c r="L637" i="2"/>
  <c r="L629" i="2"/>
  <c r="L621" i="2"/>
  <c r="L613" i="2"/>
  <c r="L605" i="2"/>
  <c r="L597" i="2"/>
  <c r="L589" i="2"/>
  <c r="L581" i="2"/>
  <c r="L573" i="2"/>
  <c r="L565" i="2"/>
  <c r="L557" i="2"/>
  <c r="L549" i="2"/>
  <c r="L541" i="2"/>
  <c r="L533" i="2"/>
  <c r="L525" i="2"/>
  <c r="L517" i="2"/>
  <c r="L509" i="2"/>
  <c r="L501" i="2"/>
  <c r="L493" i="2"/>
  <c r="L485" i="2"/>
  <c r="L477" i="2"/>
  <c r="L469" i="2"/>
  <c r="L461" i="2"/>
  <c r="L453" i="2"/>
  <c r="L445" i="2"/>
  <c r="L437" i="2"/>
  <c r="L429" i="2"/>
  <c r="L421" i="2"/>
  <c r="L413" i="2"/>
  <c r="L405" i="2"/>
  <c r="L397" i="2"/>
  <c r="L389" i="2"/>
  <c r="L381" i="2"/>
  <c r="L373" i="2"/>
  <c r="L365" i="2"/>
  <c r="L357" i="2"/>
  <c r="L349" i="2"/>
  <c r="L341" i="2"/>
  <c r="L333" i="2"/>
  <c r="L325" i="2"/>
  <c r="L317" i="2"/>
  <c r="L309" i="2"/>
  <c r="L301" i="2"/>
  <c r="L29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L651" i="2"/>
  <c r="L643" i="2"/>
  <c r="L635" i="2"/>
  <c r="L627" i="2"/>
  <c r="L619" i="2"/>
  <c r="L611" i="2"/>
  <c r="L603" i="2"/>
  <c r="L595" i="2"/>
  <c r="L587" i="2"/>
  <c r="L579" i="2"/>
  <c r="L571" i="2"/>
  <c r="L563" i="2"/>
  <c r="L555" i="2"/>
  <c r="L547" i="2"/>
  <c r="L539" i="2"/>
  <c r="L531" i="2"/>
  <c r="L523" i="2"/>
  <c r="L515" i="2"/>
  <c r="L507" i="2"/>
  <c r="L499" i="2"/>
  <c r="L491" i="2"/>
  <c r="L483" i="2"/>
  <c r="L475" i="2"/>
  <c r="L467" i="2"/>
  <c r="L459" i="2"/>
  <c r="L451" i="2"/>
  <c r="L443" i="2"/>
  <c r="L435" i="2"/>
  <c r="L427" i="2"/>
  <c r="L419" i="2"/>
  <c r="L411" i="2"/>
  <c r="L403" i="2"/>
  <c r="L395" i="2"/>
  <c r="L387" i="2"/>
  <c r="L379" i="2"/>
  <c r="L371" i="2"/>
  <c r="L363" i="2"/>
  <c r="L355" i="2"/>
  <c r="L347" i="2"/>
  <c r="L339" i="2"/>
  <c r="L331" i="2"/>
  <c r="L323" i="2"/>
  <c r="L315" i="2"/>
  <c r="L307" i="2"/>
  <c r="L299" i="2"/>
  <c r="L291" i="2"/>
  <c r="L283" i="2"/>
  <c r="L275" i="2"/>
  <c r="L267" i="2"/>
  <c r="L259" i="2"/>
  <c r="L251" i="2"/>
  <c r="L243" i="2"/>
  <c r="L235" i="2"/>
  <c r="L227" i="2"/>
  <c r="L219" i="2"/>
  <c r="L211" i="2"/>
  <c r="L203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655" i="2"/>
  <c r="L647" i="2"/>
  <c r="L639" i="2"/>
  <c r="L631" i="2"/>
  <c r="L623" i="2"/>
  <c r="L615" i="2"/>
  <c r="L607" i="2"/>
  <c r="L599" i="2"/>
  <c r="L591" i="2"/>
  <c r="L583" i="2"/>
  <c r="L575" i="2"/>
  <c r="L567" i="2"/>
  <c r="L559" i="2"/>
  <c r="L551" i="2"/>
  <c r="L543" i="2"/>
  <c r="L535" i="2"/>
  <c r="L527" i="2"/>
  <c r="L519" i="2"/>
  <c r="L511" i="2"/>
  <c r="L503" i="2"/>
  <c r="L495" i="2"/>
  <c r="L487" i="2"/>
  <c r="L479" i="2"/>
  <c r="L471" i="2"/>
  <c r="L463" i="2"/>
  <c r="L455" i="2"/>
  <c r="L447" i="2"/>
  <c r="L439" i="2"/>
  <c r="L431" i="2"/>
  <c r="L423" i="2"/>
  <c r="L415" i="2"/>
  <c r="L407" i="2"/>
  <c r="L399" i="2"/>
  <c r="L391" i="2"/>
  <c r="L383" i="2"/>
  <c r="L375" i="2"/>
  <c r="L367" i="2"/>
  <c r="L359" i="2"/>
  <c r="L351" i="2"/>
  <c r="L343" i="2"/>
  <c r="L335" i="2"/>
  <c r="L327" i="2"/>
  <c r="L319" i="2"/>
  <c r="L311" i="2"/>
  <c r="L303" i="2"/>
  <c r="L295" i="2"/>
  <c r="L287" i="2"/>
  <c r="L279" i="2"/>
  <c r="L271" i="2"/>
  <c r="L263" i="2"/>
  <c r="L255" i="2"/>
  <c r="L247" i="2"/>
  <c r="L239" i="2"/>
  <c r="L231" i="2"/>
  <c r="L223" i="2"/>
  <c r="L215" i="2"/>
  <c r="L207" i="2"/>
  <c r="L199" i="2"/>
  <c r="L191" i="2"/>
  <c r="L183" i="2"/>
  <c r="L175" i="2"/>
  <c r="L167" i="2"/>
  <c r="L159" i="2"/>
  <c r="L151" i="2"/>
  <c r="L143" i="2"/>
  <c r="L135" i="2"/>
  <c r="L127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656" i="2"/>
  <c r="L648" i="2"/>
  <c r="L640" i="2"/>
  <c r="L632" i="2"/>
  <c r="L624" i="2"/>
  <c r="L616" i="2"/>
  <c r="L536" i="2"/>
  <c r="L528" i="2"/>
  <c r="L520" i="2"/>
  <c r="L512" i="2"/>
  <c r="L504" i="2"/>
  <c r="L496" i="2"/>
  <c r="L488" i="2"/>
  <c r="L472" i="2"/>
  <c r="L464" i="2"/>
  <c r="L456" i="2"/>
  <c r="L448" i="2"/>
  <c r="L440" i="2"/>
  <c r="L432" i="2"/>
  <c r="L424" i="2"/>
  <c r="L408" i="2"/>
  <c r="L400" i="2"/>
  <c r="L392" i="2"/>
  <c r="L384" i="2"/>
  <c r="L376" i="2"/>
  <c r="L368" i="2"/>
  <c r="L360" i="2"/>
  <c r="L344" i="2"/>
  <c r="L336" i="2"/>
  <c r="L328" i="2"/>
  <c r="L320" i="2"/>
  <c r="L312" i="2"/>
  <c r="L304" i="2"/>
  <c r="L296" i="2"/>
  <c r="L288" i="2"/>
  <c r="L280" i="2"/>
  <c r="L104" i="2"/>
  <c r="L96" i="2"/>
  <c r="L88" i="2"/>
  <c r="L80" i="2"/>
  <c r="L72" i="2"/>
  <c r="L64" i="2"/>
  <c r="L56" i="2"/>
  <c r="L48" i="2"/>
  <c r="L40" i="2"/>
  <c r="L32" i="2"/>
  <c r="L24" i="2"/>
  <c r="L16" i="2"/>
</calcChain>
</file>

<file path=xl/sharedStrings.xml><?xml version="1.0" encoding="utf-8"?>
<sst xmlns="http://schemas.openxmlformats.org/spreadsheetml/2006/main" count="26" uniqueCount="23">
  <si>
    <t>Bpay Upload</t>
  </si>
  <si>
    <t>Bpay Reference</t>
  </si>
  <si>
    <t>Paid Date</t>
  </si>
  <si>
    <t>Transaction Amount</t>
  </si>
  <si>
    <t>Merchant ID</t>
  </si>
  <si>
    <t>Invoice Amount</t>
  </si>
  <si>
    <t>Parent ID</t>
  </si>
  <si>
    <t>Y</t>
  </si>
  <si>
    <t>Calculated Fee</t>
  </si>
  <si>
    <t>Sibling Discount</t>
  </si>
  <si>
    <t>Siblings?</t>
  </si>
  <si>
    <t>Helper Discount</t>
  </si>
  <si>
    <t>Previous Balance</t>
  </si>
  <si>
    <t>Helper Hours</t>
  </si>
  <si>
    <t>Arrears Penalty</t>
  </si>
  <si>
    <t>Parent Invoices</t>
  </si>
  <si>
    <t>Paid Amount</t>
  </si>
  <si>
    <t>New Balance</t>
  </si>
  <si>
    <t>Total Paid</t>
  </si>
  <si>
    <t>Average New Balance</t>
  </si>
  <si>
    <t>Pay Plan</t>
  </si>
  <si>
    <t>Emp?</t>
  </si>
  <si>
    <t>Enroled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</si>
</sst>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22"/>
      <color theme="0"/>
      <name val="Century Gothic"/>
      <family val="2"/>
      <scheme val="minor"/>
    </font>
    <font>
      <sz val="24"/>
      <color theme="0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7" tint="-0.249977111117893"/>
        <bgColor theme="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4" xfId="0" applyNumberFormat="1" applyFont="1" applyBorder="1"/>
    <xf numFmtId="0" fontId="0" fillId="0" borderId="4" xfId="0" applyFont="1" applyBorder="1" applyAlignment="1">
      <alignment horizontal="center"/>
    </xf>
    <xf numFmtId="164" fontId="0" fillId="0" borderId="5" xfId="0" applyNumberFormat="1" applyFont="1" applyBorder="1"/>
    <xf numFmtId="0" fontId="5" fillId="2" borderId="0" xfId="1" applyFont="1"/>
    <xf numFmtId="0" fontId="5" fillId="2" borderId="0" xfId="1" applyFont="1" applyAlignment="1">
      <alignment horizontal="center"/>
    </xf>
    <xf numFmtId="0" fontId="4" fillId="2" borderId="0" xfId="1" applyFont="1" applyAlignment="1">
      <alignment horizontal="left"/>
    </xf>
    <xf numFmtId="0" fontId="0" fillId="0" borderId="4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64" fontId="0" fillId="0" borderId="6" xfId="0" applyNumberFormat="1" applyFont="1" applyBorder="1"/>
    <xf numFmtId="0" fontId="0" fillId="0" borderId="6" xfId="0" applyFont="1" applyBorder="1" applyAlignment="1">
      <alignment horizontal="center"/>
    </xf>
    <xf numFmtId="164" fontId="0" fillId="0" borderId="7" xfId="0" applyNumberFormat="1" applyFont="1" applyBorder="1"/>
    <xf numFmtId="0" fontId="2" fillId="2" borderId="0" xfId="1" applyFont="1"/>
    <xf numFmtId="164" fontId="1" fillId="3" borderId="0" xfId="2" applyNumberForma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554182</xdr:colOff>
      <xdr:row>0</xdr:row>
      <xdr:rowOff>329045</xdr:rowOff>
    </xdr:from>
    <xdr:to>
      <xdr:col>11</xdr:col>
      <xdr:colOff>822613</xdr:colOff>
      <xdr:row>2</xdr:row>
      <xdr:rowOff>77932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CF98012-CB42-441B-8BAC-6A5316F91AB7}"/>
            </a:ext>
          </a:extLst>
        </xdr:cNvPr>
        <xdr:cNvSpPr/>
      </xdr:nvSpPr>
      <xdr:spPr>
        <a:xfrm>
          <a:off x="4546023" y="329045"/>
          <a:ext cx="4710545" cy="38966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419" sz="1100" b="1">
              <a:solidFill>
                <a:schemeClr val="bg1"/>
              </a:solidFill>
            </a:rPr>
            <a:t>LOFICA</a:t>
          </a:r>
          <a:r>
            <a:rPr lang="es-419" sz="1100" b="1" baseline="0">
              <a:solidFill>
                <a:schemeClr val="bg1"/>
              </a:solidFill>
            </a:rPr>
            <a:t> CONDICIONAL BASADA EN MAS DE UNA PRUEBA LOGICA</a:t>
          </a:r>
          <a:endParaRPr lang="es-419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225136</xdr:colOff>
      <xdr:row>2</xdr:row>
      <xdr:rowOff>181839</xdr:rowOff>
    </xdr:from>
    <xdr:to>
      <xdr:col>8</xdr:col>
      <xdr:colOff>129885</xdr:colOff>
      <xdr:row>5</xdr:row>
      <xdr:rowOff>147204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25D9F17-BE81-4A73-9B1F-177C15262F5B}"/>
            </a:ext>
          </a:extLst>
        </xdr:cNvPr>
        <xdr:cNvSpPr/>
      </xdr:nvSpPr>
      <xdr:spPr>
        <a:xfrm>
          <a:off x="1844386" y="822612"/>
          <a:ext cx="4571999" cy="58881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previous_balance &gt; 0 &amp;&amp; pay_plan_i</a:t>
          </a:r>
          <a:r>
            <a:rPr lang="es-419" sz="1100" baseline="0"/>
            <a:t> &lt;&gt; "Y", entonces:</a:t>
          </a:r>
        </a:p>
        <a:p>
          <a:pPr algn="l"/>
          <a:r>
            <a:rPr lang="es-419" sz="1100"/>
            <a:t>se le dara una penalidad del 10% de previous_baance_i, sino 0</a:t>
          </a:r>
        </a:p>
      </xdr:txBody>
    </xdr:sp>
    <xdr:clientData/>
  </xdr:twoCellAnchor>
  <xdr:twoCellAnchor>
    <xdr:from>
      <xdr:col>8</xdr:col>
      <xdr:colOff>640772</xdr:colOff>
      <xdr:row>2</xdr:row>
      <xdr:rowOff>181841</xdr:rowOff>
    </xdr:from>
    <xdr:to>
      <xdr:col>13</xdr:col>
      <xdr:colOff>233794</xdr:colOff>
      <xdr:row>5</xdr:row>
      <xdr:rowOff>155865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AF7FFC2-91C7-48E3-B917-5B2A0F8987A4}"/>
            </a:ext>
          </a:extLst>
        </xdr:cNvPr>
        <xdr:cNvSpPr/>
      </xdr:nvSpPr>
      <xdr:spPr>
        <a:xfrm>
          <a:off x="6927272" y="822614"/>
          <a:ext cx="3454977" cy="597478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helper_hours_i</a:t>
          </a:r>
          <a:r>
            <a:rPr lang="es-419" sz="1100" baseline="0"/>
            <a:t> &gt; 0 || emp = TRUE, entonces:</a:t>
          </a:r>
        </a:p>
        <a:p>
          <a:pPr algn="l"/>
          <a:r>
            <a:rPr lang="es-419" sz="1100" baseline="0"/>
            <a:t>descuento del 250 dolares , sino 0</a:t>
          </a:r>
          <a:endParaRPr lang="es-419" sz="1100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8"/>
  <sheetViews>
    <sheetView tabSelected="1" zoomScale="110" zoomScaleNormal="110" workbookViewId="0">
      <selection activeCell="N8" sqref="N8"/>
    </sheetView>
  </sheetViews>
  <sheetFormatPr defaultRowHeight="16.5" x14ac:dyDescent="0.3"/>
  <cols>
    <col min="1" max="1" width="8.75" style="3" customWidth="1"/>
    <col min="2" max="2" width="12.5" customWidth="1"/>
    <col min="3" max="3" width="9.375" style="5" bestFit="1" customWidth="1"/>
    <col min="4" max="4" width="13" customWidth="1"/>
    <col min="5" max="5" width="8.75" style="5" customWidth="1"/>
    <col min="6" max="6" width="8.25" bestFit="1" customWidth="1"/>
    <col min="7" max="7" width="10.5" customWidth="1"/>
    <col min="8" max="8" width="11.375" customWidth="1"/>
    <col min="9" max="9" width="8.75" style="5" customWidth="1"/>
    <col min="10" max="10" width="7.75" style="5" customWidth="1"/>
    <col min="11" max="11" width="11.75" customWidth="1"/>
    <col min="12" max="14" width="11.25" customWidth="1"/>
    <col min="15" max="15" width="5.75" customWidth="1"/>
    <col min="16" max="16" width="21.25" bestFit="1" customWidth="1"/>
    <col min="17" max="17" width="17.125" customWidth="1"/>
  </cols>
  <sheetData>
    <row r="1" spans="1:17" ht="34.15" customHeight="1" x14ac:dyDescent="0.4">
      <c r="A1" s="11" t="s">
        <v>15</v>
      </c>
      <c r="B1" s="9"/>
      <c r="C1" s="10"/>
      <c r="D1" s="9"/>
      <c r="E1" s="10"/>
      <c r="F1" s="9"/>
      <c r="G1" s="9"/>
      <c r="H1" s="9"/>
      <c r="I1" s="10"/>
      <c r="J1" s="10"/>
      <c r="K1" s="9"/>
      <c r="L1" s="9"/>
      <c r="M1" s="9"/>
      <c r="N1" s="9"/>
    </row>
    <row r="7" spans="1:17" ht="28.5" x14ac:dyDescent="0.3">
      <c r="A7" s="20" t="s">
        <v>6</v>
      </c>
      <c r="B7" s="22" t="s">
        <v>12</v>
      </c>
      <c r="C7" s="22" t="s">
        <v>20</v>
      </c>
      <c r="D7" s="19" t="s">
        <v>8</v>
      </c>
      <c r="E7" s="19" t="s">
        <v>22</v>
      </c>
      <c r="F7" s="19" t="s">
        <v>10</v>
      </c>
      <c r="G7" s="19" t="s">
        <v>9</v>
      </c>
      <c r="H7" s="22" t="s">
        <v>14</v>
      </c>
      <c r="I7" s="23" t="s">
        <v>13</v>
      </c>
      <c r="J7" s="23" t="s">
        <v>21</v>
      </c>
      <c r="K7" s="23" t="s">
        <v>11</v>
      </c>
      <c r="L7" s="19" t="s">
        <v>5</v>
      </c>
      <c r="M7" s="19" t="s">
        <v>16</v>
      </c>
      <c r="N7" s="21" t="s">
        <v>17</v>
      </c>
    </row>
    <row r="8" spans="1:17" x14ac:dyDescent="0.3">
      <c r="A8" s="12">
        <v>30008</v>
      </c>
      <c r="B8" s="6">
        <v>0</v>
      </c>
      <c r="C8" s="7"/>
      <c r="D8" s="6">
        <v>11757</v>
      </c>
      <c r="E8" s="7">
        <v>3</v>
      </c>
      <c r="F8" s="7" t="str">
        <f>IF(E8&gt;=2,"Y", "")</f>
        <v>Y</v>
      </c>
      <c r="G8" s="6">
        <f>IF(F8="y",D8*5%,0)</f>
        <v>587.85</v>
      </c>
      <c r="H8" s="6">
        <f>IF(AND(B8&gt;0,C8&lt;&gt;"Y"),B8*10%,0)</f>
        <v>0</v>
      </c>
      <c r="I8" s="7">
        <v>16</v>
      </c>
      <c r="J8" s="7"/>
      <c r="K8" s="6">
        <f>IF(OR(I8&gt;=16,J8),250,0)</f>
        <v>250</v>
      </c>
      <c r="L8" s="6">
        <f>'Invoice Data'!$B8+'Invoice Data'!$D8-'Invoice Data'!$G8-'Invoice Data'!$K8+'Invoice Data'!$H8</f>
        <v>10919.15</v>
      </c>
      <c r="M8" s="6">
        <f>VLOOKUP('Invoice Data'!$A8,BPay!$B$4:$D$10,3,0)</f>
        <v>11757</v>
      </c>
      <c r="N8" s="8"/>
      <c r="P8" s="17" t="s">
        <v>18</v>
      </c>
      <c r="Q8" s="18" t="e">
        <f>SUM('Invoice Data'!$M$8:$M$658)</f>
        <v>#N/A</v>
      </c>
    </row>
    <row r="9" spans="1:17" x14ac:dyDescent="0.3">
      <c r="A9" s="12">
        <v>30017</v>
      </c>
      <c r="B9" s="6">
        <v>0</v>
      </c>
      <c r="C9" s="7"/>
      <c r="D9" s="6">
        <v>5193</v>
      </c>
      <c r="E9" s="7">
        <v>1</v>
      </c>
      <c r="F9" s="7" t="str">
        <f t="shared" ref="F9:F72" si="0">IF(E9&gt;=2,"Y", "")</f>
        <v/>
      </c>
      <c r="G9" s="6">
        <f t="shared" ref="G9:G72" si="1">IF(F9="y",D9*5%,0)</f>
        <v>0</v>
      </c>
      <c r="H9" s="6">
        <f t="shared" ref="H9:H72" si="2">IF(AND(B9&gt;0,C9&lt;&gt;"Y"),B9*10%,0)</f>
        <v>0</v>
      </c>
      <c r="I9" s="7">
        <v>0</v>
      </c>
      <c r="J9" s="7" t="b">
        <v>1</v>
      </c>
      <c r="K9" s="6">
        <f t="shared" ref="K9:K72" si="3">IF(OR(I9&gt;=16,J9),250,0)</f>
        <v>250</v>
      </c>
      <c r="L9" s="6">
        <f>'Invoice Data'!$B9+'Invoice Data'!$D9-'Invoice Data'!$G9-'Invoice Data'!$K9+'Invoice Data'!$H9</f>
        <v>4943</v>
      </c>
      <c r="M9" s="6">
        <f>VLOOKUP('Invoice Data'!$A9,BPay!$B$4:$D$10,3,0)</f>
        <v>5193</v>
      </c>
      <c r="N9" s="8"/>
      <c r="P9" s="17" t="s">
        <v>19</v>
      </c>
      <c r="Q9" s="18" t="e">
        <f>AVERAGE('Invoice Data'!$N$8:$N$658)</f>
        <v>#DIV/0!</v>
      </c>
    </row>
    <row r="10" spans="1:17" x14ac:dyDescent="0.3">
      <c r="A10" s="12">
        <v>30035</v>
      </c>
      <c r="B10" s="6">
        <v>3645</v>
      </c>
      <c r="C10" s="7"/>
      <c r="D10" s="6">
        <v>5086</v>
      </c>
      <c r="E10" s="7">
        <v>1</v>
      </c>
      <c r="F10" s="7" t="str">
        <f t="shared" si="0"/>
        <v/>
      </c>
      <c r="G10" s="6">
        <f t="shared" si="1"/>
        <v>0</v>
      </c>
      <c r="H10" s="6">
        <f t="shared" si="2"/>
        <v>364.5</v>
      </c>
      <c r="I10" s="7">
        <v>5</v>
      </c>
      <c r="J10" s="7"/>
      <c r="K10" s="6">
        <f t="shared" si="3"/>
        <v>0</v>
      </c>
      <c r="L10" s="6">
        <f>'Invoice Data'!$B10+'Invoice Data'!$D10-'Invoice Data'!$G10-'Invoice Data'!$K10+'Invoice Data'!$H10</f>
        <v>9095.5</v>
      </c>
      <c r="M10" s="6">
        <f>VLOOKUP('Invoice Data'!$A10,BPay!$B$4:$D$10,3,0)</f>
        <v>8731</v>
      </c>
      <c r="N10" s="8"/>
    </row>
    <row r="11" spans="1:17" x14ac:dyDescent="0.3">
      <c r="A11" s="12">
        <v>30044</v>
      </c>
      <c r="B11" s="6">
        <v>548.45000000000005</v>
      </c>
      <c r="C11" s="7" t="s">
        <v>7</v>
      </c>
      <c r="D11" s="6">
        <v>3589</v>
      </c>
      <c r="E11" s="7">
        <v>1</v>
      </c>
      <c r="F11" s="7" t="str">
        <f t="shared" si="0"/>
        <v/>
      </c>
      <c r="G11" s="6">
        <f t="shared" si="1"/>
        <v>0</v>
      </c>
      <c r="H11" s="6">
        <f t="shared" si="2"/>
        <v>0</v>
      </c>
      <c r="I11" s="7">
        <v>6</v>
      </c>
      <c r="J11" s="7"/>
      <c r="K11" s="6">
        <f t="shared" si="3"/>
        <v>0</v>
      </c>
      <c r="L11" s="6">
        <f>'Invoice Data'!$B11+'Invoice Data'!$D11-'Invoice Data'!$G11-'Invoice Data'!$K11+'Invoice Data'!$H11</f>
        <v>4137.45</v>
      </c>
      <c r="M11" s="6">
        <f>VLOOKUP('Invoice Data'!$A11,BPay!$B$4:$D$10,3,0)</f>
        <v>3589</v>
      </c>
      <c r="N11" s="8"/>
    </row>
    <row r="12" spans="1:17" x14ac:dyDescent="0.3">
      <c r="A12" s="12">
        <v>30053</v>
      </c>
      <c r="B12" s="6">
        <v>0</v>
      </c>
      <c r="C12" s="7"/>
      <c r="D12" s="6">
        <v>7377</v>
      </c>
      <c r="E12" s="7">
        <v>2</v>
      </c>
      <c r="F12" s="7" t="str">
        <f t="shared" si="0"/>
        <v>Y</v>
      </c>
      <c r="G12" s="6">
        <f t="shared" si="1"/>
        <v>368.85</v>
      </c>
      <c r="H12" s="6">
        <f t="shared" si="2"/>
        <v>0</v>
      </c>
      <c r="I12" s="7">
        <v>0</v>
      </c>
      <c r="J12" s="7"/>
      <c r="K12" s="6">
        <f t="shared" si="3"/>
        <v>0</v>
      </c>
      <c r="L12" s="6">
        <f>'Invoice Data'!$B12+'Invoice Data'!$D12-'Invoice Data'!$G12-'Invoice Data'!$K12+'Invoice Data'!$H12</f>
        <v>7008.15</v>
      </c>
      <c r="M12" s="6">
        <f>VLOOKUP('Invoice Data'!$A12,BPay!$B$4:$D$10,3,0)</f>
        <v>7377</v>
      </c>
      <c r="N12" s="8"/>
    </row>
    <row r="13" spans="1:17" x14ac:dyDescent="0.3">
      <c r="A13" s="12">
        <v>30099</v>
      </c>
      <c r="B13" s="6">
        <v>0</v>
      </c>
      <c r="C13" s="7"/>
      <c r="D13" s="6">
        <v>3554</v>
      </c>
      <c r="E13" s="7">
        <v>1</v>
      </c>
      <c r="F13" s="7" t="str">
        <f t="shared" si="0"/>
        <v/>
      </c>
      <c r="G13" s="6">
        <f t="shared" si="1"/>
        <v>0</v>
      </c>
      <c r="H13" s="6">
        <f t="shared" si="2"/>
        <v>0</v>
      </c>
      <c r="I13" s="7">
        <v>9</v>
      </c>
      <c r="J13" s="7"/>
      <c r="K13" s="6">
        <f t="shared" si="3"/>
        <v>0</v>
      </c>
      <c r="L13" s="6">
        <f>'Invoice Data'!$B13+'Invoice Data'!$D13-'Invoice Data'!$G13-'Invoice Data'!$K13+'Invoice Data'!$H13</f>
        <v>3554</v>
      </c>
      <c r="M13" s="6" t="e">
        <f>VLOOKUP('Invoice Data'!$A13,BPay!$B$4:$D$10,3,0)</f>
        <v>#N/A</v>
      </c>
      <c r="N13" s="8"/>
    </row>
    <row r="14" spans="1:17" x14ac:dyDescent="0.3">
      <c r="A14" s="12">
        <v>30115</v>
      </c>
      <c r="B14" s="6">
        <v>-1200</v>
      </c>
      <c r="C14" s="7"/>
      <c r="D14" s="6">
        <v>4650</v>
      </c>
      <c r="E14" s="7">
        <v>1</v>
      </c>
      <c r="F14" s="7" t="str">
        <f t="shared" si="0"/>
        <v/>
      </c>
      <c r="G14" s="6">
        <f t="shared" si="1"/>
        <v>0</v>
      </c>
      <c r="H14" s="6">
        <f t="shared" si="2"/>
        <v>0</v>
      </c>
      <c r="I14" s="7">
        <v>0</v>
      </c>
      <c r="J14" s="7" t="b">
        <v>1</v>
      </c>
      <c r="K14" s="6">
        <f t="shared" si="3"/>
        <v>250</v>
      </c>
      <c r="L14" s="6">
        <f>'Invoice Data'!$B14+'Invoice Data'!$D14-'Invoice Data'!$G14-'Invoice Data'!$K14+'Invoice Data'!$H14</f>
        <v>3200</v>
      </c>
      <c r="M14" s="6" t="e">
        <f>VLOOKUP('Invoice Data'!$A14,BPay!$B$4:$D$10,3,0)</f>
        <v>#N/A</v>
      </c>
      <c r="N14" s="8"/>
    </row>
    <row r="15" spans="1:17" x14ac:dyDescent="0.3">
      <c r="A15" s="12">
        <v>30133</v>
      </c>
      <c r="B15" s="6">
        <v>0</v>
      </c>
      <c r="C15" s="7"/>
      <c r="D15" s="6">
        <v>9031</v>
      </c>
      <c r="E15" s="7">
        <v>2</v>
      </c>
      <c r="F15" s="7" t="str">
        <f t="shared" si="0"/>
        <v>Y</v>
      </c>
      <c r="G15" s="6">
        <f t="shared" si="1"/>
        <v>451.55</v>
      </c>
      <c r="H15" s="6">
        <f t="shared" si="2"/>
        <v>0</v>
      </c>
      <c r="I15" s="7">
        <v>7</v>
      </c>
      <c r="J15" s="7"/>
      <c r="K15" s="6">
        <f t="shared" si="3"/>
        <v>0</v>
      </c>
      <c r="L15" s="6">
        <f>'Invoice Data'!$B15+'Invoice Data'!$D15-'Invoice Data'!$G15-'Invoice Data'!$K15+'Invoice Data'!$H15</f>
        <v>8579.4500000000007</v>
      </c>
      <c r="M15" s="6">
        <f>VLOOKUP('Invoice Data'!$A15,BPay!$B$4:$D$10,3,0)</f>
        <v>7377</v>
      </c>
      <c r="N15" s="8"/>
    </row>
    <row r="16" spans="1:17" x14ac:dyDescent="0.3">
      <c r="A16" s="12">
        <v>30142</v>
      </c>
      <c r="B16" s="6">
        <v>0</v>
      </c>
      <c r="C16" s="7"/>
      <c r="D16" s="6">
        <v>3943</v>
      </c>
      <c r="E16" s="7">
        <v>1</v>
      </c>
      <c r="F16" s="7" t="str">
        <f t="shared" si="0"/>
        <v/>
      </c>
      <c r="G16" s="6">
        <f t="shared" si="1"/>
        <v>0</v>
      </c>
      <c r="H16" s="6">
        <f t="shared" si="2"/>
        <v>0</v>
      </c>
      <c r="I16" s="7">
        <v>2</v>
      </c>
      <c r="J16" s="7"/>
      <c r="K16" s="6">
        <f t="shared" si="3"/>
        <v>0</v>
      </c>
      <c r="L16" s="6">
        <f>'Invoice Data'!$B16+'Invoice Data'!$D16-'Invoice Data'!$G16-'Invoice Data'!$K16+'Invoice Data'!$H16</f>
        <v>3943</v>
      </c>
      <c r="M16" s="6" t="e">
        <f>VLOOKUP('Invoice Data'!$A16,BPay!$B$4:$D$10,3,0)</f>
        <v>#N/A</v>
      </c>
      <c r="N16" s="8"/>
    </row>
    <row r="17" spans="1:14" x14ac:dyDescent="0.3">
      <c r="A17" s="12">
        <v>30151</v>
      </c>
      <c r="B17" s="6">
        <v>0</v>
      </c>
      <c r="C17" s="7"/>
      <c r="D17" s="6">
        <v>4197</v>
      </c>
      <c r="E17" s="7">
        <v>1</v>
      </c>
      <c r="F17" s="7" t="str">
        <f t="shared" si="0"/>
        <v/>
      </c>
      <c r="G17" s="6">
        <f t="shared" si="1"/>
        <v>0</v>
      </c>
      <c r="H17" s="6">
        <f t="shared" si="2"/>
        <v>0</v>
      </c>
      <c r="I17" s="7">
        <v>16</v>
      </c>
      <c r="J17" s="7"/>
      <c r="K17" s="6">
        <f t="shared" si="3"/>
        <v>250</v>
      </c>
      <c r="L17" s="6">
        <f>'Invoice Data'!$B17+'Invoice Data'!$D17-'Invoice Data'!$G17-'Invoice Data'!$K17+'Invoice Data'!$H17</f>
        <v>3947</v>
      </c>
      <c r="M17" s="6" t="e">
        <f>VLOOKUP('Invoice Data'!$A17,BPay!$B$4:$D$10,3,0)</f>
        <v>#N/A</v>
      </c>
      <c r="N17" s="8"/>
    </row>
    <row r="18" spans="1:14" x14ac:dyDescent="0.3">
      <c r="A18" s="12">
        <v>30160</v>
      </c>
      <c r="B18" s="6">
        <v>0</v>
      </c>
      <c r="C18" s="7"/>
      <c r="D18" s="6">
        <v>8234</v>
      </c>
      <c r="E18" s="7">
        <v>2</v>
      </c>
      <c r="F18" s="7" t="str">
        <f t="shared" si="0"/>
        <v>Y</v>
      </c>
      <c r="G18" s="6">
        <f t="shared" si="1"/>
        <v>411.70000000000005</v>
      </c>
      <c r="H18" s="6">
        <f t="shared" si="2"/>
        <v>0</v>
      </c>
      <c r="I18" s="7">
        <v>18</v>
      </c>
      <c r="J18" s="7"/>
      <c r="K18" s="6">
        <f t="shared" si="3"/>
        <v>250</v>
      </c>
      <c r="L18" s="6">
        <f>'Invoice Data'!$B18+'Invoice Data'!$D18-'Invoice Data'!$G18-'Invoice Data'!$K18+'Invoice Data'!$H18</f>
        <v>7572.3</v>
      </c>
      <c r="M18" s="6" t="e">
        <f>VLOOKUP('Invoice Data'!$A18,BPay!$B$4:$D$10,3,0)</f>
        <v>#N/A</v>
      </c>
      <c r="N18" s="8"/>
    </row>
    <row r="19" spans="1:14" x14ac:dyDescent="0.3">
      <c r="A19" s="12">
        <v>30188</v>
      </c>
      <c r="B19" s="6">
        <v>0</v>
      </c>
      <c r="C19" s="7"/>
      <c r="D19" s="6">
        <v>6278</v>
      </c>
      <c r="E19" s="7">
        <v>2</v>
      </c>
      <c r="F19" s="7" t="str">
        <f t="shared" si="0"/>
        <v>Y</v>
      </c>
      <c r="G19" s="6">
        <f t="shared" si="1"/>
        <v>313.90000000000003</v>
      </c>
      <c r="H19" s="6">
        <f t="shared" si="2"/>
        <v>0</v>
      </c>
      <c r="I19" s="7">
        <v>16</v>
      </c>
      <c r="J19" s="7"/>
      <c r="K19" s="6">
        <f t="shared" si="3"/>
        <v>250</v>
      </c>
      <c r="L19" s="6">
        <f>'Invoice Data'!$B19+'Invoice Data'!$D19-'Invoice Data'!$G19-'Invoice Data'!$K19+'Invoice Data'!$H19</f>
        <v>5714.1</v>
      </c>
      <c r="M19" s="6" t="e">
        <f>VLOOKUP('Invoice Data'!$A19,BPay!$B$4:$D$10,3,0)</f>
        <v>#N/A</v>
      </c>
      <c r="N19" s="8"/>
    </row>
    <row r="20" spans="1:14" x14ac:dyDescent="0.3">
      <c r="A20" s="12">
        <v>30197</v>
      </c>
      <c r="B20" s="6">
        <v>0</v>
      </c>
      <c r="C20" s="7"/>
      <c r="D20" s="6">
        <v>18626</v>
      </c>
      <c r="E20" s="7">
        <v>4</v>
      </c>
      <c r="F20" s="7" t="str">
        <f t="shared" si="0"/>
        <v>Y</v>
      </c>
      <c r="G20" s="6">
        <f t="shared" si="1"/>
        <v>931.30000000000007</v>
      </c>
      <c r="H20" s="6">
        <f t="shared" si="2"/>
        <v>0</v>
      </c>
      <c r="I20" s="7">
        <v>0</v>
      </c>
      <c r="J20" s="7"/>
      <c r="K20" s="6">
        <f t="shared" si="3"/>
        <v>0</v>
      </c>
      <c r="L20" s="6">
        <f>'Invoice Data'!$B20+'Invoice Data'!$D20-'Invoice Data'!$G20-'Invoice Data'!$K20+'Invoice Data'!$H20</f>
        <v>17694.7</v>
      </c>
      <c r="M20" s="6" t="e">
        <f>VLOOKUP('Invoice Data'!$A20,BPay!$B$4:$D$10,3,0)</f>
        <v>#N/A</v>
      </c>
      <c r="N20" s="8"/>
    </row>
    <row r="21" spans="1:14" x14ac:dyDescent="0.3">
      <c r="A21" s="12">
        <v>30204</v>
      </c>
      <c r="B21" s="6">
        <v>0</v>
      </c>
      <c r="C21" s="7"/>
      <c r="D21" s="6">
        <v>9386</v>
      </c>
      <c r="E21" s="7">
        <v>2</v>
      </c>
      <c r="F21" s="7" t="str">
        <f t="shared" si="0"/>
        <v>Y</v>
      </c>
      <c r="G21" s="6">
        <f t="shared" si="1"/>
        <v>469.3</v>
      </c>
      <c r="H21" s="6">
        <f t="shared" si="2"/>
        <v>0</v>
      </c>
      <c r="I21" s="7">
        <v>0</v>
      </c>
      <c r="J21" s="7" t="b">
        <v>1</v>
      </c>
      <c r="K21" s="6">
        <f t="shared" si="3"/>
        <v>250</v>
      </c>
      <c r="L21" s="6">
        <f>'Invoice Data'!$B21+'Invoice Data'!$D21-'Invoice Data'!$G21-'Invoice Data'!$K21+'Invoice Data'!$H21</f>
        <v>8666.7000000000007</v>
      </c>
      <c r="M21" s="6" t="e">
        <f>VLOOKUP('Invoice Data'!$A21,BPay!$B$4:$D$10,3,0)</f>
        <v>#N/A</v>
      </c>
      <c r="N21" s="8"/>
    </row>
    <row r="22" spans="1:14" x14ac:dyDescent="0.3">
      <c r="A22" s="12">
        <v>30213</v>
      </c>
      <c r="B22" s="6">
        <v>0</v>
      </c>
      <c r="C22" s="7"/>
      <c r="D22" s="6">
        <v>10092</v>
      </c>
      <c r="E22" s="7">
        <v>2</v>
      </c>
      <c r="F22" s="7" t="str">
        <f t="shared" si="0"/>
        <v>Y</v>
      </c>
      <c r="G22" s="6">
        <f t="shared" si="1"/>
        <v>504.6</v>
      </c>
      <c r="H22" s="6">
        <f t="shared" si="2"/>
        <v>0</v>
      </c>
      <c r="I22" s="7">
        <v>10</v>
      </c>
      <c r="J22" s="7"/>
      <c r="K22" s="6">
        <f t="shared" si="3"/>
        <v>0</v>
      </c>
      <c r="L22" s="6">
        <f>'Invoice Data'!$B22+'Invoice Data'!$D22-'Invoice Data'!$G22-'Invoice Data'!$K22+'Invoice Data'!$H22</f>
        <v>9587.4</v>
      </c>
      <c r="M22" s="6" t="e">
        <f>VLOOKUP('Invoice Data'!$A22,BPay!$B$4:$D$10,3,0)</f>
        <v>#N/A</v>
      </c>
      <c r="N22" s="8"/>
    </row>
    <row r="23" spans="1:14" x14ac:dyDescent="0.3">
      <c r="A23" s="12">
        <v>30222</v>
      </c>
      <c r="B23" s="6">
        <v>0</v>
      </c>
      <c r="C23" s="7"/>
      <c r="D23" s="6">
        <v>3838</v>
      </c>
      <c r="E23" s="7">
        <v>1</v>
      </c>
      <c r="F23" s="7" t="str">
        <f t="shared" si="0"/>
        <v/>
      </c>
      <c r="G23" s="6">
        <f t="shared" si="1"/>
        <v>0</v>
      </c>
      <c r="H23" s="6">
        <f t="shared" si="2"/>
        <v>0</v>
      </c>
      <c r="I23" s="7">
        <v>3</v>
      </c>
      <c r="J23" s="7"/>
      <c r="K23" s="6">
        <f t="shared" si="3"/>
        <v>0</v>
      </c>
      <c r="L23" s="6">
        <f>'Invoice Data'!$B23+'Invoice Data'!$D23-'Invoice Data'!$G23-'Invoice Data'!$K23+'Invoice Data'!$H23</f>
        <v>3838</v>
      </c>
      <c r="M23" s="6">
        <f>VLOOKUP('Invoice Data'!$A23,BPay!$B$4:$D$10,3,0)</f>
        <v>3838</v>
      </c>
      <c r="N23" s="8"/>
    </row>
    <row r="24" spans="1:14" x14ac:dyDescent="0.3">
      <c r="A24" s="12">
        <v>30240</v>
      </c>
      <c r="B24" s="6">
        <v>0</v>
      </c>
      <c r="C24" s="7"/>
      <c r="D24" s="6">
        <v>4160</v>
      </c>
      <c r="E24" s="7">
        <v>1</v>
      </c>
      <c r="F24" s="7" t="str">
        <f t="shared" si="0"/>
        <v/>
      </c>
      <c r="G24" s="6">
        <f t="shared" si="1"/>
        <v>0</v>
      </c>
      <c r="H24" s="6">
        <f t="shared" si="2"/>
        <v>0</v>
      </c>
      <c r="I24" s="7">
        <v>2</v>
      </c>
      <c r="J24" s="7"/>
      <c r="K24" s="6">
        <f t="shared" si="3"/>
        <v>0</v>
      </c>
      <c r="L24" s="6">
        <f>'Invoice Data'!$B24+'Invoice Data'!$D24-'Invoice Data'!$G24-'Invoice Data'!$K24+'Invoice Data'!$H24</f>
        <v>4160</v>
      </c>
      <c r="M24" s="6" t="e">
        <f>VLOOKUP('Invoice Data'!$A24,BPay!$B$4:$D$10,3,0)</f>
        <v>#N/A</v>
      </c>
      <c r="N24" s="8"/>
    </row>
    <row r="25" spans="1:14" x14ac:dyDescent="0.3">
      <c r="A25" s="12">
        <v>30259</v>
      </c>
      <c r="B25" s="6">
        <v>0</v>
      </c>
      <c r="C25" s="7"/>
      <c r="D25" s="6">
        <v>7875</v>
      </c>
      <c r="E25" s="7">
        <v>2</v>
      </c>
      <c r="F25" s="7" t="str">
        <f t="shared" si="0"/>
        <v>Y</v>
      </c>
      <c r="G25" s="6">
        <f t="shared" si="1"/>
        <v>393.75</v>
      </c>
      <c r="H25" s="6">
        <f t="shared" si="2"/>
        <v>0</v>
      </c>
      <c r="I25" s="7">
        <v>1</v>
      </c>
      <c r="J25" s="7"/>
      <c r="K25" s="6">
        <f t="shared" si="3"/>
        <v>0</v>
      </c>
      <c r="L25" s="6">
        <f>'Invoice Data'!$B25+'Invoice Data'!$D25-'Invoice Data'!$G25-'Invoice Data'!$K25+'Invoice Data'!$H25</f>
        <v>7481.25</v>
      </c>
      <c r="M25" s="6" t="e">
        <f>VLOOKUP('Invoice Data'!$A25,BPay!$B$4:$D$10,3,0)</f>
        <v>#N/A</v>
      </c>
      <c r="N25" s="8"/>
    </row>
    <row r="26" spans="1:14" x14ac:dyDescent="0.3">
      <c r="A26" s="12">
        <v>30268</v>
      </c>
      <c r="B26" s="6">
        <v>2279</v>
      </c>
      <c r="C26" s="7"/>
      <c r="D26" s="6">
        <v>8867</v>
      </c>
      <c r="E26" s="7">
        <v>2</v>
      </c>
      <c r="F26" s="7" t="str">
        <f t="shared" si="0"/>
        <v>Y</v>
      </c>
      <c r="G26" s="6">
        <f t="shared" si="1"/>
        <v>443.35</v>
      </c>
      <c r="H26" s="6">
        <f t="shared" si="2"/>
        <v>227.9</v>
      </c>
      <c r="I26" s="7">
        <v>16</v>
      </c>
      <c r="J26" s="7"/>
      <c r="K26" s="6">
        <f t="shared" si="3"/>
        <v>250</v>
      </c>
      <c r="L26" s="6">
        <f>'Invoice Data'!$B26+'Invoice Data'!$D26-'Invoice Data'!$G26-'Invoice Data'!$K26+'Invoice Data'!$H26</f>
        <v>10680.55</v>
      </c>
      <c r="M26" s="6" t="e">
        <f>VLOOKUP('Invoice Data'!$A26,BPay!$B$4:$D$10,3,0)</f>
        <v>#N/A</v>
      </c>
      <c r="N26" s="8"/>
    </row>
    <row r="27" spans="1:14" x14ac:dyDescent="0.3">
      <c r="A27" s="12">
        <v>30277</v>
      </c>
      <c r="B27" s="6">
        <v>0</v>
      </c>
      <c r="C27" s="7"/>
      <c r="D27" s="6">
        <v>9970</v>
      </c>
      <c r="E27" s="7">
        <v>2</v>
      </c>
      <c r="F27" s="7" t="str">
        <f t="shared" si="0"/>
        <v>Y</v>
      </c>
      <c r="G27" s="6">
        <f t="shared" si="1"/>
        <v>498.5</v>
      </c>
      <c r="H27" s="6">
        <f t="shared" si="2"/>
        <v>0</v>
      </c>
      <c r="I27" s="7">
        <v>0</v>
      </c>
      <c r="J27" s="7"/>
      <c r="K27" s="6">
        <f t="shared" si="3"/>
        <v>0</v>
      </c>
      <c r="L27" s="6">
        <f>'Invoice Data'!$B27+'Invoice Data'!$D27-'Invoice Data'!$G27-'Invoice Data'!$K27+'Invoice Data'!$H27</f>
        <v>9471.5</v>
      </c>
      <c r="M27" s="6" t="e">
        <f>VLOOKUP('Invoice Data'!$A27,BPay!$B$4:$D$10,3,0)</f>
        <v>#N/A</v>
      </c>
      <c r="N27" s="8"/>
    </row>
    <row r="28" spans="1:14" x14ac:dyDescent="0.3">
      <c r="A28" s="12">
        <v>30295</v>
      </c>
      <c r="B28" s="6">
        <v>0</v>
      </c>
      <c r="C28" s="7"/>
      <c r="D28" s="6">
        <v>9383</v>
      </c>
      <c r="E28" s="7">
        <v>2</v>
      </c>
      <c r="F28" s="7" t="str">
        <f t="shared" si="0"/>
        <v>Y</v>
      </c>
      <c r="G28" s="6">
        <f t="shared" si="1"/>
        <v>469.15000000000003</v>
      </c>
      <c r="H28" s="6">
        <f t="shared" si="2"/>
        <v>0</v>
      </c>
      <c r="I28" s="7">
        <v>16</v>
      </c>
      <c r="J28" s="7"/>
      <c r="K28" s="6">
        <f t="shared" si="3"/>
        <v>250</v>
      </c>
      <c r="L28" s="6">
        <f>'Invoice Data'!$B28+'Invoice Data'!$D28-'Invoice Data'!$G28-'Invoice Data'!$K28+'Invoice Data'!$H28</f>
        <v>8663.85</v>
      </c>
      <c r="M28" s="6" t="e">
        <f>VLOOKUP('Invoice Data'!$A28,BPay!$B$4:$D$10,3,0)</f>
        <v>#N/A</v>
      </c>
      <c r="N28" s="8"/>
    </row>
    <row r="29" spans="1:14" x14ac:dyDescent="0.3">
      <c r="A29" s="12">
        <v>30357</v>
      </c>
      <c r="B29" s="6">
        <v>-200</v>
      </c>
      <c r="C29" s="7"/>
      <c r="D29" s="6">
        <v>5449</v>
      </c>
      <c r="E29" s="7">
        <v>1</v>
      </c>
      <c r="F29" s="7" t="str">
        <f t="shared" si="0"/>
        <v/>
      </c>
      <c r="G29" s="6">
        <f t="shared" si="1"/>
        <v>0</v>
      </c>
      <c r="H29" s="6">
        <f t="shared" si="2"/>
        <v>0</v>
      </c>
      <c r="I29" s="7">
        <v>16</v>
      </c>
      <c r="J29" s="7"/>
      <c r="K29" s="6">
        <f t="shared" si="3"/>
        <v>250</v>
      </c>
      <c r="L29" s="6">
        <f>'Invoice Data'!$B29+'Invoice Data'!$D29-'Invoice Data'!$G29-'Invoice Data'!$K29+'Invoice Data'!$H29</f>
        <v>4999</v>
      </c>
      <c r="M29" s="6" t="e">
        <f>VLOOKUP('Invoice Data'!$A29,BPay!$B$4:$D$10,3,0)</f>
        <v>#N/A</v>
      </c>
      <c r="N29" s="8"/>
    </row>
    <row r="30" spans="1:14" x14ac:dyDescent="0.3">
      <c r="A30" s="12">
        <v>30366</v>
      </c>
      <c r="B30" s="6">
        <v>0</v>
      </c>
      <c r="C30" s="7"/>
      <c r="D30" s="6">
        <v>6429</v>
      </c>
      <c r="E30" s="7">
        <v>2</v>
      </c>
      <c r="F30" s="7" t="str">
        <f t="shared" si="0"/>
        <v>Y</v>
      </c>
      <c r="G30" s="6">
        <f t="shared" si="1"/>
        <v>321.45000000000005</v>
      </c>
      <c r="H30" s="6">
        <f t="shared" si="2"/>
        <v>0</v>
      </c>
      <c r="I30" s="7">
        <v>10</v>
      </c>
      <c r="J30" s="7"/>
      <c r="K30" s="6">
        <f t="shared" si="3"/>
        <v>0</v>
      </c>
      <c r="L30" s="6">
        <f>'Invoice Data'!$B30+'Invoice Data'!$D30-'Invoice Data'!$G30-'Invoice Data'!$K30+'Invoice Data'!$H30</f>
        <v>6107.55</v>
      </c>
      <c r="M30" s="6" t="e">
        <f>VLOOKUP('Invoice Data'!$A30,BPay!$B$4:$D$10,3,0)</f>
        <v>#N/A</v>
      </c>
      <c r="N30" s="8"/>
    </row>
    <row r="31" spans="1:14" x14ac:dyDescent="0.3">
      <c r="A31" s="12">
        <v>30400</v>
      </c>
      <c r="B31" s="6">
        <v>0</v>
      </c>
      <c r="C31" s="7"/>
      <c r="D31" s="6">
        <v>9103</v>
      </c>
      <c r="E31" s="7">
        <v>2</v>
      </c>
      <c r="F31" s="7" t="str">
        <f t="shared" si="0"/>
        <v>Y</v>
      </c>
      <c r="G31" s="6">
        <f t="shared" si="1"/>
        <v>455.15000000000003</v>
      </c>
      <c r="H31" s="6">
        <f t="shared" si="2"/>
        <v>0</v>
      </c>
      <c r="I31" s="7">
        <v>13</v>
      </c>
      <c r="J31" s="7"/>
      <c r="K31" s="6">
        <f t="shared" si="3"/>
        <v>0</v>
      </c>
      <c r="L31" s="6">
        <f>'Invoice Data'!$B31+'Invoice Data'!$D31-'Invoice Data'!$G31-'Invoice Data'!$K31+'Invoice Data'!$H31</f>
        <v>8647.85</v>
      </c>
      <c r="M31" s="6" t="e">
        <f>VLOOKUP('Invoice Data'!$A31,BPay!$B$4:$D$10,3,0)</f>
        <v>#N/A</v>
      </c>
      <c r="N31" s="8"/>
    </row>
    <row r="32" spans="1:14" x14ac:dyDescent="0.3">
      <c r="A32" s="12">
        <v>30428</v>
      </c>
      <c r="B32" s="6">
        <v>0</v>
      </c>
      <c r="C32" s="7"/>
      <c r="D32" s="6">
        <v>3812</v>
      </c>
      <c r="E32" s="7">
        <v>1</v>
      </c>
      <c r="F32" s="7" t="str">
        <f t="shared" si="0"/>
        <v/>
      </c>
      <c r="G32" s="6">
        <f t="shared" si="1"/>
        <v>0</v>
      </c>
      <c r="H32" s="6">
        <f t="shared" si="2"/>
        <v>0</v>
      </c>
      <c r="I32" s="7">
        <v>6</v>
      </c>
      <c r="J32" s="7"/>
      <c r="K32" s="6">
        <f t="shared" si="3"/>
        <v>0</v>
      </c>
      <c r="L32" s="6">
        <f>'Invoice Data'!$B32+'Invoice Data'!$D32-'Invoice Data'!$G32-'Invoice Data'!$K32+'Invoice Data'!$H32</f>
        <v>3812</v>
      </c>
      <c r="M32" s="6" t="e">
        <f>VLOOKUP('Invoice Data'!$A32,BPay!$B$4:$D$10,3,0)</f>
        <v>#N/A</v>
      </c>
      <c r="N32" s="8"/>
    </row>
    <row r="33" spans="1:14" x14ac:dyDescent="0.3">
      <c r="A33" s="12">
        <v>30437</v>
      </c>
      <c r="B33" s="6">
        <v>0</v>
      </c>
      <c r="C33" s="7"/>
      <c r="D33" s="6">
        <v>4749</v>
      </c>
      <c r="E33" s="7">
        <v>1</v>
      </c>
      <c r="F33" s="7" t="str">
        <f t="shared" si="0"/>
        <v/>
      </c>
      <c r="G33" s="6">
        <f t="shared" si="1"/>
        <v>0</v>
      </c>
      <c r="H33" s="6">
        <f t="shared" si="2"/>
        <v>0</v>
      </c>
      <c r="I33" s="7">
        <v>2</v>
      </c>
      <c r="J33" s="7"/>
      <c r="K33" s="6">
        <f t="shared" si="3"/>
        <v>0</v>
      </c>
      <c r="L33" s="6">
        <f>'Invoice Data'!$B33+'Invoice Data'!$D33-'Invoice Data'!$G33-'Invoice Data'!$K33+'Invoice Data'!$H33</f>
        <v>4749</v>
      </c>
      <c r="M33" s="6" t="e">
        <f>VLOOKUP('Invoice Data'!$A33,BPay!$B$4:$D$10,3,0)</f>
        <v>#N/A</v>
      </c>
      <c r="N33" s="8"/>
    </row>
    <row r="34" spans="1:14" x14ac:dyDescent="0.3">
      <c r="A34" s="12">
        <v>30446</v>
      </c>
      <c r="B34" s="6">
        <v>0</v>
      </c>
      <c r="C34" s="7"/>
      <c r="D34" s="6">
        <v>7866</v>
      </c>
      <c r="E34" s="7">
        <v>2</v>
      </c>
      <c r="F34" s="7" t="str">
        <f t="shared" si="0"/>
        <v>Y</v>
      </c>
      <c r="G34" s="6">
        <f t="shared" si="1"/>
        <v>393.3</v>
      </c>
      <c r="H34" s="6">
        <f t="shared" si="2"/>
        <v>0</v>
      </c>
      <c r="I34" s="7">
        <v>18</v>
      </c>
      <c r="J34" s="7"/>
      <c r="K34" s="6">
        <f t="shared" si="3"/>
        <v>250</v>
      </c>
      <c r="L34" s="6">
        <f>'Invoice Data'!$B34+'Invoice Data'!$D34-'Invoice Data'!$G34-'Invoice Data'!$K34+'Invoice Data'!$H34</f>
        <v>7222.7</v>
      </c>
      <c r="M34" s="6" t="e">
        <f>VLOOKUP('Invoice Data'!$A34,BPay!$B$4:$D$10,3,0)</f>
        <v>#N/A</v>
      </c>
      <c r="N34" s="8"/>
    </row>
    <row r="35" spans="1:14" x14ac:dyDescent="0.3">
      <c r="A35" s="12">
        <v>30455</v>
      </c>
      <c r="B35" s="6">
        <v>0</v>
      </c>
      <c r="C35" s="7"/>
      <c r="D35" s="6">
        <v>3545</v>
      </c>
      <c r="E35" s="7">
        <v>1</v>
      </c>
      <c r="F35" s="7" t="str">
        <f t="shared" si="0"/>
        <v/>
      </c>
      <c r="G35" s="6">
        <f t="shared" si="1"/>
        <v>0</v>
      </c>
      <c r="H35" s="6">
        <f t="shared" si="2"/>
        <v>0</v>
      </c>
      <c r="I35" s="7">
        <v>1</v>
      </c>
      <c r="J35" s="7"/>
      <c r="K35" s="6">
        <f t="shared" si="3"/>
        <v>0</v>
      </c>
      <c r="L35" s="6">
        <f>'Invoice Data'!$B35+'Invoice Data'!$D35-'Invoice Data'!$G35-'Invoice Data'!$K35+'Invoice Data'!$H35</f>
        <v>3545</v>
      </c>
      <c r="M35" s="6" t="e">
        <f>VLOOKUP('Invoice Data'!$A35,BPay!$B$4:$D$10,3,0)</f>
        <v>#N/A</v>
      </c>
      <c r="N35" s="8"/>
    </row>
    <row r="36" spans="1:14" x14ac:dyDescent="0.3">
      <c r="A36" s="12">
        <v>30464</v>
      </c>
      <c r="B36" s="6">
        <v>0</v>
      </c>
      <c r="C36" s="7"/>
      <c r="D36" s="6">
        <v>4597</v>
      </c>
      <c r="E36" s="7">
        <v>1</v>
      </c>
      <c r="F36" s="7" t="str">
        <f t="shared" si="0"/>
        <v/>
      </c>
      <c r="G36" s="6">
        <f t="shared" si="1"/>
        <v>0</v>
      </c>
      <c r="H36" s="6">
        <f t="shared" si="2"/>
        <v>0</v>
      </c>
      <c r="I36" s="7">
        <v>2</v>
      </c>
      <c r="J36" s="7"/>
      <c r="K36" s="6">
        <f t="shared" si="3"/>
        <v>0</v>
      </c>
      <c r="L36" s="6">
        <f>'Invoice Data'!$B36+'Invoice Data'!$D36-'Invoice Data'!$G36-'Invoice Data'!$K36+'Invoice Data'!$H36</f>
        <v>4597</v>
      </c>
      <c r="M36" s="6" t="e">
        <f>VLOOKUP('Invoice Data'!$A36,BPay!$B$4:$D$10,3,0)</f>
        <v>#N/A</v>
      </c>
      <c r="N36" s="8"/>
    </row>
    <row r="37" spans="1:14" x14ac:dyDescent="0.3">
      <c r="A37" s="12">
        <v>30473</v>
      </c>
      <c r="B37" s="6">
        <v>0</v>
      </c>
      <c r="C37" s="7"/>
      <c r="D37" s="6">
        <v>4239</v>
      </c>
      <c r="E37" s="7">
        <v>1</v>
      </c>
      <c r="F37" s="7" t="str">
        <f t="shared" si="0"/>
        <v/>
      </c>
      <c r="G37" s="6">
        <f t="shared" si="1"/>
        <v>0</v>
      </c>
      <c r="H37" s="6">
        <f t="shared" si="2"/>
        <v>0</v>
      </c>
      <c r="I37" s="7">
        <v>0</v>
      </c>
      <c r="J37" s="7" t="b">
        <v>1</v>
      </c>
      <c r="K37" s="6">
        <f t="shared" si="3"/>
        <v>250</v>
      </c>
      <c r="L37" s="6">
        <f>'Invoice Data'!$B37+'Invoice Data'!$D37-'Invoice Data'!$G37-'Invoice Data'!$K37+'Invoice Data'!$H37</f>
        <v>3989</v>
      </c>
      <c r="M37" s="6" t="e">
        <f>VLOOKUP('Invoice Data'!$A37,BPay!$B$4:$D$10,3,0)</f>
        <v>#N/A</v>
      </c>
      <c r="N37" s="8"/>
    </row>
    <row r="38" spans="1:14" x14ac:dyDescent="0.3">
      <c r="A38" s="12">
        <v>30482</v>
      </c>
      <c r="B38" s="6">
        <v>0</v>
      </c>
      <c r="C38" s="7"/>
      <c r="D38" s="6">
        <v>3736</v>
      </c>
      <c r="E38" s="7">
        <v>1</v>
      </c>
      <c r="F38" s="7" t="str">
        <f t="shared" si="0"/>
        <v/>
      </c>
      <c r="G38" s="6">
        <f t="shared" si="1"/>
        <v>0</v>
      </c>
      <c r="H38" s="6">
        <f t="shared" si="2"/>
        <v>0</v>
      </c>
      <c r="I38" s="7">
        <v>0</v>
      </c>
      <c r="J38" s="7"/>
      <c r="K38" s="6">
        <f t="shared" si="3"/>
        <v>0</v>
      </c>
      <c r="L38" s="6">
        <f>'Invoice Data'!$B38+'Invoice Data'!$D38-'Invoice Data'!$G38-'Invoice Data'!$K38+'Invoice Data'!$H38</f>
        <v>3736</v>
      </c>
      <c r="M38" s="6" t="e">
        <f>VLOOKUP('Invoice Data'!$A38,BPay!$B$4:$D$10,3,0)</f>
        <v>#N/A</v>
      </c>
      <c r="N38" s="8"/>
    </row>
    <row r="39" spans="1:14" x14ac:dyDescent="0.3">
      <c r="A39" s="12">
        <v>30491</v>
      </c>
      <c r="B39" s="6">
        <v>0</v>
      </c>
      <c r="C39" s="7"/>
      <c r="D39" s="6">
        <v>5111</v>
      </c>
      <c r="E39" s="7">
        <v>1</v>
      </c>
      <c r="F39" s="7" t="str">
        <f t="shared" si="0"/>
        <v/>
      </c>
      <c r="G39" s="6">
        <f t="shared" si="1"/>
        <v>0</v>
      </c>
      <c r="H39" s="6">
        <f t="shared" si="2"/>
        <v>0</v>
      </c>
      <c r="I39" s="7">
        <v>6</v>
      </c>
      <c r="J39" s="7"/>
      <c r="K39" s="6">
        <f t="shared" si="3"/>
        <v>0</v>
      </c>
      <c r="L39" s="6">
        <f>'Invoice Data'!$B39+'Invoice Data'!$D39-'Invoice Data'!$G39-'Invoice Data'!$K39+'Invoice Data'!$H39</f>
        <v>5111</v>
      </c>
      <c r="M39" s="6" t="e">
        <f>VLOOKUP('Invoice Data'!$A39,BPay!$B$4:$D$10,3,0)</f>
        <v>#N/A</v>
      </c>
      <c r="N39" s="8"/>
    </row>
    <row r="40" spans="1:14" x14ac:dyDescent="0.3">
      <c r="A40" s="12">
        <v>30623</v>
      </c>
      <c r="B40" s="6">
        <v>0</v>
      </c>
      <c r="C40" s="7"/>
      <c r="D40" s="6">
        <v>8470</v>
      </c>
      <c r="E40" s="7">
        <v>2</v>
      </c>
      <c r="F40" s="7" t="str">
        <f t="shared" si="0"/>
        <v>Y</v>
      </c>
      <c r="G40" s="6">
        <f t="shared" si="1"/>
        <v>423.5</v>
      </c>
      <c r="H40" s="6">
        <f t="shared" si="2"/>
        <v>0</v>
      </c>
      <c r="I40" s="7">
        <v>13</v>
      </c>
      <c r="J40" s="7"/>
      <c r="K40" s="6">
        <f t="shared" si="3"/>
        <v>0</v>
      </c>
      <c r="L40" s="6">
        <f>'Invoice Data'!$B40+'Invoice Data'!$D40-'Invoice Data'!$G40-'Invoice Data'!$K40+'Invoice Data'!$H40</f>
        <v>8046.5</v>
      </c>
      <c r="M40" s="6" t="e">
        <f>VLOOKUP('Invoice Data'!$A40,BPay!$B$4:$D$10,3,0)</f>
        <v>#N/A</v>
      </c>
      <c r="N40" s="8"/>
    </row>
    <row r="41" spans="1:14" x14ac:dyDescent="0.3">
      <c r="A41" s="12">
        <v>30632</v>
      </c>
      <c r="B41" s="6">
        <v>0</v>
      </c>
      <c r="C41" s="7"/>
      <c r="D41" s="6">
        <v>4365</v>
      </c>
      <c r="E41" s="7">
        <v>1</v>
      </c>
      <c r="F41" s="7" t="str">
        <f t="shared" si="0"/>
        <v/>
      </c>
      <c r="G41" s="6">
        <f t="shared" si="1"/>
        <v>0</v>
      </c>
      <c r="H41" s="6">
        <f t="shared" si="2"/>
        <v>0</v>
      </c>
      <c r="I41" s="7">
        <v>0</v>
      </c>
      <c r="J41" s="7"/>
      <c r="K41" s="6">
        <f t="shared" si="3"/>
        <v>0</v>
      </c>
      <c r="L41" s="6">
        <f>'Invoice Data'!$B41+'Invoice Data'!$D41-'Invoice Data'!$G41-'Invoice Data'!$K41+'Invoice Data'!$H41</f>
        <v>4365</v>
      </c>
      <c r="M41" s="6" t="e">
        <f>VLOOKUP('Invoice Data'!$A41,BPay!$B$4:$D$10,3,0)</f>
        <v>#N/A</v>
      </c>
      <c r="N41" s="8"/>
    </row>
    <row r="42" spans="1:14" x14ac:dyDescent="0.3">
      <c r="A42" s="12">
        <v>30650</v>
      </c>
      <c r="B42" s="6">
        <v>0</v>
      </c>
      <c r="C42" s="7"/>
      <c r="D42" s="6">
        <v>9405</v>
      </c>
      <c r="E42" s="7">
        <v>2</v>
      </c>
      <c r="F42" s="7" t="str">
        <f t="shared" si="0"/>
        <v>Y</v>
      </c>
      <c r="G42" s="6">
        <f t="shared" si="1"/>
        <v>470.25</v>
      </c>
      <c r="H42" s="6">
        <f t="shared" si="2"/>
        <v>0</v>
      </c>
      <c r="I42" s="7">
        <v>3</v>
      </c>
      <c r="J42" s="7"/>
      <c r="K42" s="6">
        <f t="shared" si="3"/>
        <v>0</v>
      </c>
      <c r="L42" s="6">
        <f>'Invoice Data'!$B42+'Invoice Data'!$D42-'Invoice Data'!$G42-'Invoice Data'!$K42+'Invoice Data'!$H42</f>
        <v>8934.75</v>
      </c>
      <c r="M42" s="6" t="e">
        <f>VLOOKUP('Invoice Data'!$A42,BPay!$B$4:$D$10,3,0)</f>
        <v>#N/A</v>
      </c>
      <c r="N42" s="8"/>
    </row>
    <row r="43" spans="1:14" x14ac:dyDescent="0.3">
      <c r="A43" s="12">
        <v>30678</v>
      </c>
      <c r="B43" s="6">
        <v>0</v>
      </c>
      <c r="C43" s="7"/>
      <c r="D43" s="6">
        <v>3549</v>
      </c>
      <c r="E43" s="7">
        <v>1</v>
      </c>
      <c r="F43" s="7" t="str">
        <f t="shared" si="0"/>
        <v/>
      </c>
      <c r="G43" s="6">
        <f t="shared" si="1"/>
        <v>0</v>
      </c>
      <c r="H43" s="6">
        <f t="shared" si="2"/>
        <v>0</v>
      </c>
      <c r="I43" s="7">
        <v>15</v>
      </c>
      <c r="J43" s="7"/>
      <c r="K43" s="6">
        <f t="shared" si="3"/>
        <v>0</v>
      </c>
      <c r="L43" s="6">
        <f>'Invoice Data'!$B43+'Invoice Data'!$D43-'Invoice Data'!$G43-'Invoice Data'!$K43+'Invoice Data'!$H43</f>
        <v>3549</v>
      </c>
      <c r="M43" s="6" t="e">
        <f>VLOOKUP('Invoice Data'!$A43,BPay!$B$4:$D$10,3,0)</f>
        <v>#N/A</v>
      </c>
      <c r="N43" s="8"/>
    </row>
    <row r="44" spans="1:14" x14ac:dyDescent="0.3">
      <c r="A44" s="12">
        <v>30696</v>
      </c>
      <c r="B44" s="6">
        <v>0</v>
      </c>
      <c r="C44" s="7"/>
      <c r="D44" s="6">
        <v>5218</v>
      </c>
      <c r="E44" s="7">
        <v>1</v>
      </c>
      <c r="F44" s="7" t="str">
        <f t="shared" si="0"/>
        <v/>
      </c>
      <c r="G44" s="6">
        <f t="shared" si="1"/>
        <v>0</v>
      </c>
      <c r="H44" s="6">
        <f t="shared" si="2"/>
        <v>0</v>
      </c>
      <c r="I44" s="7">
        <v>12</v>
      </c>
      <c r="J44" s="7"/>
      <c r="K44" s="6">
        <f t="shared" si="3"/>
        <v>0</v>
      </c>
      <c r="L44" s="6">
        <f>'Invoice Data'!$B44+'Invoice Data'!$D44-'Invoice Data'!$G44-'Invoice Data'!$K44+'Invoice Data'!$H44</f>
        <v>5218</v>
      </c>
      <c r="M44" s="6" t="e">
        <f>VLOOKUP('Invoice Data'!$A44,BPay!$B$4:$D$10,3,0)</f>
        <v>#N/A</v>
      </c>
      <c r="N44" s="8"/>
    </row>
    <row r="45" spans="1:14" x14ac:dyDescent="0.3">
      <c r="A45" s="12">
        <v>30721</v>
      </c>
      <c r="B45" s="6">
        <v>0</v>
      </c>
      <c r="C45" s="7"/>
      <c r="D45" s="6">
        <v>9778</v>
      </c>
      <c r="E45" s="7">
        <v>2</v>
      </c>
      <c r="F45" s="7" t="str">
        <f t="shared" si="0"/>
        <v>Y</v>
      </c>
      <c r="G45" s="6">
        <f t="shared" si="1"/>
        <v>488.90000000000003</v>
      </c>
      <c r="H45" s="6">
        <f t="shared" si="2"/>
        <v>0</v>
      </c>
      <c r="I45" s="7">
        <v>1</v>
      </c>
      <c r="J45" s="7"/>
      <c r="K45" s="6">
        <f t="shared" si="3"/>
        <v>0</v>
      </c>
      <c r="L45" s="6">
        <f>'Invoice Data'!$B45+'Invoice Data'!$D45-'Invoice Data'!$G45-'Invoice Data'!$K45+'Invoice Data'!$H45</f>
        <v>9289.1</v>
      </c>
      <c r="M45" s="6" t="e">
        <f>VLOOKUP('Invoice Data'!$A45,BPay!$B$4:$D$10,3,0)</f>
        <v>#N/A</v>
      </c>
      <c r="N45" s="8"/>
    </row>
    <row r="46" spans="1:14" x14ac:dyDescent="0.3">
      <c r="A46" s="12">
        <v>30730</v>
      </c>
      <c r="B46" s="6">
        <v>0</v>
      </c>
      <c r="C46" s="7"/>
      <c r="D46" s="6">
        <v>3347</v>
      </c>
      <c r="E46" s="7">
        <v>1</v>
      </c>
      <c r="F46" s="7" t="str">
        <f t="shared" si="0"/>
        <v/>
      </c>
      <c r="G46" s="6">
        <f t="shared" si="1"/>
        <v>0</v>
      </c>
      <c r="H46" s="6">
        <f t="shared" si="2"/>
        <v>0</v>
      </c>
      <c r="I46" s="7">
        <v>12</v>
      </c>
      <c r="J46" s="7"/>
      <c r="K46" s="6">
        <f t="shared" si="3"/>
        <v>0</v>
      </c>
      <c r="L46" s="6">
        <f>'Invoice Data'!$B46+'Invoice Data'!$D46-'Invoice Data'!$G46-'Invoice Data'!$K46+'Invoice Data'!$H46</f>
        <v>3347</v>
      </c>
      <c r="M46" s="6" t="e">
        <f>VLOOKUP('Invoice Data'!$A46,BPay!$B$4:$D$10,3,0)</f>
        <v>#N/A</v>
      </c>
      <c r="N46" s="8"/>
    </row>
    <row r="47" spans="1:14" x14ac:dyDescent="0.3">
      <c r="A47" s="12">
        <v>30749</v>
      </c>
      <c r="B47" s="6">
        <v>0</v>
      </c>
      <c r="C47" s="7"/>
      <c r="D47" s="6">
        <v>8605</v>
      </c>
      <c r="E47" s="7">
        <v>2</v>
      </c>
      <c r="F47" s="7" t="str">
        <f t="shared" si="0"/>
        <v>Y</v>
      </c>
      <c r="G47" s="6">
        <f t="shared" si="1"/>
        <v>430.25</v>
      </c>
      <c r="H47" s="6">
        <f t="shared" si="2"/>
        <v>0</v>
      </c>
      <c r="I47" s="7">
        <v>4</v>
      </c>
      <c r="J47" s="7"/>
      <c r="K47" s="6">
        <f t="shared" si="3"/>
        <v>0</v>
      </c>
      <c r="L47" s="6">
        <f>'Invoice Data'!$B47+'Invoice Data'!$D47-'Invoice Data'!$G47-'Invoice Data'!$K47+'Invoice Data'!$H47</f>
        <v>8174.75</v>
      </c>
      <c r="M47" s="6" t="e">
        <f>VLOOKUP('Invoice Data'!$A47,BPay!$B$4:$D$10,3,0)</f>
        <v>#N/A</v>
      </c>
      <c r="N47" s="8"/>
    </row>
    <row r="48" spans="1:14" x14ac:dyDescent="0.3">
      <c r="A48" s="12">
        <v>30758</v>
      </c>
      <c r="B48" s="6">
        <v>0</v>
      </c>
      <c r="C48" s="7"/>
      <c r="D48" s="6">
        <v>4856</v>
      </c>
      <c r="E48" s="7">
        <v>1</v>
      </c>
      <c r="F48" s="7" t="str">
        <f t="shared" si="0"/>
        <v/>
      </c>
      <c r="G48" s="6">
        <f t="shared" si="1"/>
        <v>0</v>
      </c>
      <c r="H48" s="6">
        <f t="shared" si="2"/>
        <v>0</v>
      </c>
      <c r="I48" s="7">
        <v>16</v>
      </c>
      <c r="J48" s="7"/>
      <c r="K48" s="6">
        <f t="shared" si="3"/>
        <v>250</v>
      </c>
      <c r="L48" s="6">
        <f>'Invoice Data'!$B48+'Invoice Data'!$D48-'Invoice Data'!$G48-'Invoice Data'!$K48+'Invoice Data'!$H48</f>
        <v>4606</v>
      </c>
      <c r="M48" s="6" t="e">
        <f>VLOOKUP('Invoice Data'!$A48,BPay!$B$4:$D$10,3,0)</f>
        <v>#N/A</v>
      </c>
      <c r="N48" s="8"/>
    </row>
    <row r="49" spans="1:14" x14ac:dyDescent="0.3">
      <c r="A49" s="12">
        <v>30767</v>
      </c>
      <c r="B49" s="6">
        <v>0</v>
      </c>
      <c r="C49" s="7"/>
      <c r="D49" s="6">
        <v>6675</v>
      </c>
      <c r="E49" s="7">
        <v>2</v>
      </c>
      <c r="F49" s="7" t="str">
        <f t="shared" si="0"/>
        <v>Y</v>
      </c>
      <c r="G49" s="6">
        <f t="shared" si="1"/>
        <v>333.75</v>
      </c>
      <c r="H49" s="6">
        <f t="shared" si="2"/>
        <v>0</v>
      </c>
      <c r="I49" s="7">
        <v>9</v>
      </c>
      <c r="J49" s="7"/>
      <c r="K49" s="6">
        <f t="shared" si="3"/>
        <v>0</v>
      </c>
      <c r="L49" s="6">
        <f>'Invoice Data'!$B49+'Invoice Data'!$D49-'Invoice Data'!$G49-'Invoice Data'!$K49+'Invoice Data'!$H49</f>
        <v>6341.25</v>
      </c>
      <c r="M49" s="6" t="e">
        <f>VLOOKUP('Invoice Data'!$A49,BPay!$B$4:$D$10,3,0)</f>
        <v>#N/A</v>
      </c>
      <c r="N49" s="8"/>
    </row>
    <row r="50" spans="1:14" x14ac:dyDescent="0.3">
      <c r="A50" s="12">
        <v>30776</v>
      </c>
      <c r="B50" s="6">
        <v>0</v>
      </c>
      <c r="C50" s="7"/>
      <c r="D50" s="6">
        <v>3648</v>
      </c>
      <c r="E50" s="7">
        <v>1</v>
      </c>
      <c r="F50" s="7" t="str">
        <f t="shared" si="0"/>
        <v/>
      </c>
      <c r="G50" s="6">
        <f t="shared" si="1"/>
        <v>0</v>
      </c>
      <c r="H50" s="6">
        <f t="shared" si="2"/>
        <v>0</v>
      </c>
      <c r="I50" s="7">
        <v>10</v>
      </c>
      <c r="J50" s="7"/>
      <c r="K50" s="6">
        <f t="shared" si="3"/>
        <v>0</v>
      </c>
      <c r="L50" s="6">
        <f>'Invoice Data'!$B50+'Invoice Data'!$D50-'Invoice Data'!$G50-'Invoice Data'!$K50+'Invoice Data'!$H50</f>
        <v>3648</v>
      </c>
      <c r="M50" s="6" t="e">
        <f>VLOOKUP('Invoice Data'!$A50,BPay!$B$4:$D$10,3,0)</f>
        <v>#N/A</v>
      </c>
      <c r="N50" s="8"/>
    </row>
    <row r="51" spans="1:14" x14ac:dyDescent="0.3">
      <c r="A51" s="12">
        <v>30785</v>
      </c>
      <c r="B51" s="6">
        <v>0</v>
      </c>
      <c r="C51" s="7"/>
      <c r="D51" s="6">
        <v>5011</v>
      </c>
      <c r="E51" s="7">
        <v>1</v>
      </c>
      <c r="F51" s="7" t="str">
        <f t="shared" si="0"/>
        <v/>
      </c>
      <c r="G51" s="6">
        <f t="shared" si="1"/>
        <v>0</v>
      </c>
      <c r="H51" s="6">
        <f t="shared" si="2"/>
        <v>0</v>
      </c>
      <c r="I51" s="7">
        <v>7</v>
      </c>
      <c r="J51" s="7"/>
      <c r="K51" s="6">
        <f t="shared" si="3"/>
        <v>0</v>
      </c>
      <c r="L51" s="6">
        <f>'Invoice Data'!$B51+'Invoice Data'!$D51-'Invoice Data'!$G51-'Invoice Data'!$K51+'Invoice Data'!$H51</f>
        <v>5011</v>
      </c>
      <c r="M51" s="6" t="e">
        <f>VLOOKUP('Invoice Data'!$A51,BPay!$B$4:$D$10,3,0)</f>
        <v>#N/A</v>
      </c>
      <c r="N51" s="8"/>
    </row>
    <row r="52" spans="1:14" x14ac:dyDescent="0.3">
      <c r="A52" s="12">
        <v>30801</v>
      </c>
      <c r="B52" s="6">
        <v>0</v>
      </c>
      <c r="C52" s="7"/>
      <c r="D52" s="6">
        <v>6978</v>
      </c>
      <c r="E52" s="7">
        <v>2</v>
      </c>
      <c r="F52" s="7" t="str">
        <f t="shared" si="0"/>
        <v>Y</v>
      </c>
      <c r="G52" s="6">
        <f t="shared" si="1"/>
        <v>348.90000000000003</v>
      </c>
      <c r="H52" s="6">
        <f t="shared" si="2"/>
        <v>0</v>
      </c>
      <c r="I52" s="7">
        <v>7</v>
      </c>
      <c r="J52" s="7"/>
      <c r="K52" s="6">
        <f t="shared" si="3"/>
        <v>0</v>
      </c>
      <c r="L52" s="6">
        <f>'Invoice Data'!$B52+'Invoice Data'!$D52-'Invoice Data'!$G52-'Invoice Data'!$K52+'Invoice Data'!$H52</f>
        <v>6629.1</v>
      </c>
      <c r="M52" s="6" t="e">
        <f>VLOOKUP('Invoice Data'!$A52,BPay!$B$4:$D$10,3,0)</f>
        <v>#N/A</v>
      </c>
      <c r="N52" s="8"/>
    </row>
    <row r="53" spans="1:14" x14ac:dyDescent="0.3">
      <c r="A53" s="12">
        <v>30810</v>
      </c>
      <c r="B53" s="6">
        <v>0</v>
      </c>
      <c r="C53" s="7"/>
      <c r="D53" s="6">
        <v>6601</v>
      </c>
      <c r="E53" s="7">
        <v>2</v>
      </c>
      <c r="F53" s="7" t="str">
        <f t="shared" si="0"/>
        <v>Y</v>
      </c>
      <c r="G53" s="6">
        <f t="shared" si="1"/>
        <v>330.05</v>
      </c>
      <c r="H53" s="6">
        <f t="shared" si="2"/>
        <v>0</v>
      </c>
      <c r="I53" s="7">
        <v>8</v>
      </c>
      <c r="J53" s="7"/>
      <c r="K53" s="6">
        <f t="shared" si="3"/>
        <v>0</v>
      </c>
      <c r="L53" s="6">
        <f>'Invoice Data'!$B53+'Invoice Data'!$D53-'Invoice Data'!$G53-'Invoice Data'!$K53+'Invoice Data'!$H53</f>
        <v>6270.95</v>
      </c>
      <c r="M53" s="6" t="e">
        <f>VLOOKUP('Invoice Data'!$A53,BPay!$B$4:$D$10,3,0)</f>
        <v>#N/A</v>
      </c>
      <c r="N53" s="8"/>
    </row>
    <row r="54" spans="1:14" x14ac:dyDescent="0.3">
      <c r="A54" s="12">
        <v>30829</v>
      </c>
      <c r="B54" s="6">
        <v>0</v>
      </c>
      <c r="C54" s="7"/>
      <c r="D54" s="6">
        <v>7416</v>
      </c>
      <c r="E54" s="7">
        <v>2</v>
      </c>
      <c r="F54" s="7" t="str">
        <f t="shared" si="0"/>
        <v>Y</v>
      </c>
      <c r="G54" s="6">
        <f t="shared" si="1"/>
        <v>370.8</v>
      </c>
      <c r="H54" s="6">
        <f t="shared" si="2"/>
        <v>0</v>
      </c>
      <c r="I54" s="7">
        <v>7</v>
      </c>
      <c r="J54" s="7"/>
      <c r="K54" s="6">
        <f t="shared" si="3"/>
        <v>0</v>
      </c>
      <c r="L54" s="6">
        <f>'Invoice Data'!$B54+'Invoice Data'!$D54-'Invoice Data'!$G54-'Invoice Data'!$K54+'Invoice Data'!$H54</f>
        <v>7045.2</v>
      </c>
      <c r="M54" s="6" t="e">
        <f>VLOOKUP('Invoice Data'!$A54,BPay!$B$4:$D$10,3,0)</f>
        <v>#N/A</v>
      </c>
      <c r="N54" s="8"/>
    </row>
    <row r="55" spans="1:14" x14ac:dyDescent="0.3">
      <c r="A55" s="12">
        <v>30838</v>
      </c>
      <c r="B55" s="6">
        <v>0</v>
      </c>
      <c r="C55" s="7"/>
      <c r="D55" s="6">
        <v>3769</v>
      </c>
      <c r="E55" s="7">
        <v>1</v>
      </c>
      <c r="F55" s="7" t="str">
        <f t="shared" si="0"/>
        <v/>
      </c>
      <c r="G55" s="6">
        <f t="shared" si="1"/>
        <v>0</v>
      </c>
      <c r="H55" s="6">
        <f t="shared" si="2"/>
        <v>0</v>
      </c>
      <c r="I55" s="7">
        <v>6</v>
      </c>
      <c r="J55" s="7"/>
      <c r="K55" s="6">
        <f t="shared" si="3"/>
        <v>0</v>
      </c>
      <c r="L55" s="6">
        <f>'Invoice Data'!$B55+'Invoice Data'!$D55-'Invoice Data'!$G55-'Invoice Data'!$K55+'Invoice Data'!$H55</f>
        <v>3769</v>
      </c>
      <c r="M55" s="6" t="e">
        <f>VLOOKUP('Invoice Data'!$A55,BPay!$B$4:$D$10,3,0)</f>
        <v>#N/A</v>
      </c>
      <c r="N55" s="8"/>
    </row>
    <row r="56" spans="1:14" x14ac:dyDescent="0.3">
      <c r="A56" s="12">
        <v>30847</v>
      </c>
      <c r="B56" s="6">
        <v>0</v>
      </c>
      <c r="C56" s="7"/>
      <c r="D56" s="6">
        <v>4546</v>
      </c>
      <c r="E56" s="7">
        <v>1</v>
      </c>
      <c r="F56" s="7" t="str">
        <f t="shared" si="0"/>
        <v/>
      </c>
      <c r="G56" s="6">
        <f t="shared" si="1"/>
        <v>0</v>
      </c>
      <c r="H56" s="6">
        <f t="shared" si="2"/>
        <v>0</v>
      </c>
      <c r="I56" s="7">
        <v>10</v>
      </c>
      <c r="J56" s="7"/>
      <c r="K56" s="6">
        <f t="shared" si="3"/>
        <v>0</v>
      </c>
      <c r="L56" s="6">
        <f>'Invoice Data'!$B56+'Invoice Data'!$D56-'Invoice Data'!$G56-'Invoice Data'!$K56+'Invoice Data'!$H56</f>
        <v>4546</v>
      </c>
      <c r="M56" s="6" t="e">
        <f>VLOOKUP('Invoice Data'!$A56,BPay!$B$4:$D$10,3,0)</f>
        <v>#N/A</v>
      </c>
      <c r="N56" s="8"/>
    </row>
    <row r="57" spans="1:14" x14ac:dyDescent="0.3">
      <c r="A57" s="12">
        <v>30856</v>
      </c>
      <c r="B57" s="6">
        <v>0</v>
      </c>
      <c r="C57" s="7"/>
      <c r="D57" s="6">
        <v>3576</v>
      </c>
      <c r="E57" s="7">
        <v>1</v>
      </c>
      <c r="F57" s="7" t="str">
        <f t="shared" si="0"/>
        <v/>
      </c>
      <c r="G57" s="6">
        <f t="shared" si="1"/>
        <v>0</v>
      </c>
      <c r="H57" s="6">
        <f t="shared" si="2"/>
        <v>0</v>
      </c>
      <c r="I57" s="7">
        <v>6</v>
      </c>
      <c r="J57" s="7"/>
      <c r="K57" s="6">
        <f t="shared" si="3"/>
        <v>0</v>
      </c>
      <c r="L57" s="6">
        <f>'Invoice Data'!$B57+'Invoice Data'!$D57-'Invoice Data'!$G57-'Invoice Data'!$K57+'Invoice Data'!$H57</f>
        <v>3576</v>
      </c>
      <c r="M57" s="6" t="e">
        <f>VLOOKUP('Invoice Data'!$A57,BPay!$B$4:$D$10,3,0)</f>
        <v>#N/A</v>
      </c>
      <c r="N57" s="8"/>
    </row>
    <row r="58" spans="1:14" x14ac:dyDescent="0.3">
      <c r="A58" s="12">
        <v>30865</v>
      </c>
      <c r="B58" s="6">
        <v>0</v>
      </c>
      <c r="C58" s="7"/>
      <c r="D58" s="6">
        <v>8506</v>
      </c>
      <c r="E58" s="7">
        <v>2</v>
      </c>
      <c r="F58" s="7" t="str">
        <f t="shared" si="0"/>
        <v>Y</v>
      </c>
      <c r="G58" s="6">
        <f t="shared" si="1"/>
        <v>425.3</v>
      </c>
      <c r="H58" s="6">
        <f t="shared" si="2"/>
        <v>0</v>
      </c>
      <c r="I58" s="7">
        <v>0</v>
      </c>
      <c r="J58" s="7"/>
      <c r="K58" s="6">
        <f t="shared" si="3"/>
        <v>0</v>
      </c>
      <c r="L58" s="6">
        <f>'Invoice Data'!$B58+'Invoice Data'!$D58-'Invoice Data'!$G58-'Invoice Data'!$K58+'Invoice Data'!$H58</f>
        <v>8080.7</v>
      </c>
      <c r="M58" s="6" t="e">
        <f>VLOOKUP('Invoice Data'!$A58,BPay!$B$4:$D$10,3,0)</f>
        <v>#N/A</v>
      </c>
      <c r="N58" s="8"/>
    </row>
    <row r="59" spans="1:14" x14ac:dyDescent="0.3">
      <c r="A59" s="12">
        <v>30874</v>
      </c>
      <c r="B59" s="6">
        <v>0</v>
      </c>
      <c r="C59" s="7"/>
      <c r="D59" s="6">
        <v>7145</v>
      </c>
      <c r="E59" s="7">
        <v>2</v>
      </c>
      <c r="F59" s="7" t="str">
        <f t="shared" si="0"/>
        <v>Y</v>
      </c>
      <c r="G59" s="6">
        <f t="shared" si="1"/>
        <v>357.25</v>
      </c>
      <c r="H59" s="6">
        <f t="shared" si="2"/>
        <v>0</v>
      </c>
      <c r="I59" s="7">
        <v>9</v>
      </c>
      <c r="J59" s="7"/>
      <c r="K59" s="6">
        <f t="shared" si="3"/>
        <v>0</v>
      </c>
      <c r="L59" s="6">
        <f>'Invoice Data'!$B59+'Invoice Data'!$D59-'Invoice Data'!$G59-'Invoice Data'!$K59+'Invoice Data'!$H59</f>
        <v>6787.75</v>
      </c>
      <c r="M59" s="6" t="e">
        <f>VLOOKUP('Invoice Data'!$A59,BPay!$B$4:$D$10,3,0)</f>
        <v>#N/A</v>
      </c>
      <c r="N59" s="8"/>
    </row>
    <row r="60" spans="1:14" x14ac:dyDescent="0.3">
      <c r="A60" s="12">
        <v>30883</v>
      </c>
      <c r="B60" s="6">
        <v>0</v>
      </c>
      <c r="C60" s="7"/>
      <c r="D60" s="6">
        <v>4092</v>
      </c>
      <c r="E60" s="7">
        <v>1</v>
      </c>
      <c r="F60" s="7" t="str">
        <f t="shared" si="0"/>
        <v/>
      </c>
      <c r="G60" s="6">
        <f t="shared" si="1"/>
        <v>0</v>
      </c>
      <c r="H60" s="6">
        <f t="shared" si="2"/>
        <v>0</v>
      </c>
      <c r="I60" s="7">
        <v>3</v>
      </c>
      <c r="J60" s="7"/>
      <c r="K60" s="6">
        <f t="shared" si="3"/>
        <v>0</v>
      </c>
      <c r="L60" s="6">
        <f>'Invoice Data'!$B60+'Invoice Data'!$D60-'Invoice Data'!$G60-'Invoice Data'!$K60+'Invoice Data'!$H60</f>
        <v>4092</v>
      </c>
      <c r="M60" s="6" t="e">
        <f>VLOOKUP('Invoice Data'!$A60,BPay!$B$4:$D$10,3,0)</f>
        <v>#N/A</v>
      </c>
      <c r="N60" s="8"/>
    </row>
    <row r="61" spans="1:14" x14ac:dyDescent="0.3">
      <c r="A61" s="12">
        <v>30892</v>
      </c>
      <c r="B61" s="6">
        <v>0</v>
      </c>
      <c r="C61" s="7"/>
      <c r="D61" s="6">
        <v>5481</v>
      </c>
      <c r="E61" s="7">
        <v>1</v>
      </c>
      <c r="F61" s="7" t="str">
        <f t="shared" si="0"/>
        <v/>
      </c>
      <c r="G61" s="6">
        <f t="shared" si="1"/>
        <v>0</v>
      </c>
      <c r="H61" s="6">
        <f t="shared" si="2"/>
        <v>0</v>
      </c>
      <c r="I61" s="7">
        <v>13</v>
      </c>
      <c r="J61" s="7"/>
      <c r="K61" s="6">
        <f t="shared" si="3"/>
        <v>0</v>
      </c>
      <c r="L61" s="6">
        <f>'Invoice Data'!$B61+'Invoice Data'!$D61-'Invoice Data'!$G61-'Invoice Data'!$K61+'Invoice Data'!$H61</f>
        <v>5481</v>
      </c>
      <c r="M61" s="6" t="e">
        <f>VLOOKUP('Invoice Data'!$A61,BPay!$B$4:$D$10,3,0)</f>
        <v>#N/A</v>
      </c>
      <c r="N61" s="8"/>
    </row>
    <row r="62" spans="1:14" x14ac:dyDescent="0.3">
      <c r="A62" s="12">
        <v>30909</v>
      </c>
      <c r="B62" s="6">
        <v>0</v>
      </c>
      <c r="C62" s="7"/>
      <c r="D62" s="6">
        <v>5333</v>
      </c>
      <c r="E62" s="7">
        <v>1</v>
      </c>
      <c r="F62" s="7" t="str">
        <f t="shared" si="0"/>
        <v/>
      </c>
      <c r="G62" s="6">
        <f t="shared" si="1"/>
        <v>0</v>
      </c>
      <c r="H62" s="6">
        <f t="shared" si="2"/>
        <v>0</v>
      </c>
      <c r="I62" s="7">
        <v>4</v>
      </c>
      <c r="J62" s="7"/>
      <c r="K62" s="6">
        <f t="shared" si="3"/>
        <v>0</v>
      </c>
      <c r="L62" s="6">
        <f>'Invoice Data'!$B62+'Invoice Data'!$D62-'Invoice Data'!$G62-'Invoice Data'!$K62+'Invoice Data'!$H62</f>
        <v>5333</v>
      </c>
      <c r="M62" s="6" t="e">
        <f>VLOOKUP('Invoice Data'!$A62,BPay!$B$4:$D$10,3,0)</f>
        <v>#N/A</v>
      </c>
      <c r="N62" s="8"/>
    </row>
    <row r="63" spans="1:14" x14ac:dyDescent="0.3">
      <c r="A63" s="12">
        <v>30918</v>
      </c>
      <c r="B63" s="6">
        <v>0</v>
      </c>
      <c r="C63" s="7"/>
      <c r="D63" s="6">
        <v>5032</v>
      </c>
      <c r="E63" s="7">
        <v>1</v>
      </c>
      <c r="F63" s="7" t="str">
        <f t="shared" si="0"/>
        <v/>
      </c>
      <c r="G63" s="6">
        <f t="shared" si="1"/>
        <v>0</v>
      </c>
      <c r="H63" s="6">
        <f t="shared" si="2"/>
        <v>0</v>
      </c>
      <c r="I63" s="7">
        <v>12</v>
      </c>
      <c r="J63" s="7"/>
      <c r="K63" s="6">
        <f t="shared" si="3"/>
        <v>0</v>
      </c>
      <c r="L63" s="6">
        <f>'Invoice Data'!$B63+'Invoice Data'!$D63-'Invoice Data'!$G63-'Invoice Data'!$K63+'Invoice Data'!$H63</f>
        <v>5032</v>
      </c>
      <c r="M63" s="6" t="e">
        <f>VLOOKUP('Invoice Data'!$A63,BPay!$B$4:$D$10,3,0)</f>
        <v>#N/A</v>
      </c>
      <c r="N63" s="8"/>
    </row>
    <row r="64" spans="1:14" x14ac:dyDescent="0.3">
      <c r="A64" s="12">
        <v>30927</v>
      </c>
      <c r="B64" s="6">
        <v>0</v>
      </c>
      <c r="C64" s="7"/>
      <c r="D64" s="6">
        <v>14513</v>
      </c>
      <c r="E64" s="7">
        <v>3</v>
      </c>
      <c r="F64" s="7" t="str">
        <f t="shared" si="0"/>
        <v>Y</v>
      </c>
      <c r="G64" s="6">
        <f t="shared" si="1"/>
        <v>725.65000000000009</v>
      </c>
      <c r="H64" s="6">
        <f t="shared" si="2"/>
        <v>0</v>
      </c>
      <c r="I64" s="7">
        <v>16</v>
      </c>
      <c r="J64" s="7"/>
      <c r="K64" s="6">
        <f t="shared" si="3"/>
        <v>250</v>
      </c>
      <c r="L64" s="6">
        <f>'Invoice Data'!$B64+'Invoice Data'!$D64-'Invoice Data'!$G64-'Invoice Data'!$K64+'Invoice Data'!$H64</f>
        <v>13537.35</v>
      </c>
      <c r="M64" s="6" t="e">
        <f>VLOOKUP('Invoice Data'!$A64,BPay!$B$4:$D$10,3,0)</f>
        <v>#N/A</v>
      </c>
      <c r="N64" s="8"/>
    </row>
    <row r="65" spans="1:14" x14ac:dyDescent="0.3">
      <c r="A65" s="12">
        <v>30936</v>
      </c>
      <c r="B65" s="6">
        <v>0</v>
      </c>
      <c r="C65" s="7"/>
      <c r="D65" s="6">
        <v>7219</v>
      </c>
      <c r="E65" s="7">
        <v>2</v>
      </c>
      <c r="F65" s="7" t="str">
        <f t="shared" si="0"/>
        <v>Y</v>
      </c>
      <c r="G65" s="6">
        <f t="shared" si="1"/>
        <v>360.95000000000005</v>
      </c>
      <c r="H65" s="6">
        <f t="shared" si="2"/>
        <v>0</v>
      </c>
      <c r="I65" s="7">
        <v>5</v>
      </c>
      <c r="J65" s="7"/>
      <c r="K65" s="6">
        <f t="shared" si="3"/>
        <v>0</v>
      </c>
      <c r="L65" s="6">
        <f>'Invoice Data'!$B65+'Invoice Data'!$D65-'Invoice Data'!$G65-'Invoice Data'!$K65+'Invoice Data'!$H65</f>
        <v>6858.05</v>
      </c>
      <c r="M65" s="6" t="e">
        <f>VLOOKUP('Invoice Data'!$A65,BPay!$B$4:$D$10,3,0)</f>
        <v>#N/A</v>
      </c>
      <c r="N65" s="8"/>
    </row>
    <row r="66" spans="1:14" x14ac:dyDescent="0.3">
      <c r="A66" s="12">
        <v>30945</v>
      </c>
      <c r="B66" s="6">
        <v>0</v>
      </c>
      <c r="C66" s="7"/>
      <c r="D66" s="6">
        <v>12664</v>
      </c>
      <c r="E66" s="7">
        <v>3</v>
      </c>
      <c r="F66" s="7" t="str">
        <f t="shared" si="0"/>
        <v>Y</v>
      </c>
      <c r="G66" s="6">
        <f t="shared" si="1"/>
        <v>633.20000000000005</v>
      </c>
      <c r="H66" s="6">
        <f t="shared" si="2"/>
        <v>0</v>
      </c>
      <c r="I66" s="7">
        <v>7</v>
      </c>
      <c r="J66" s="7"/>
      <c r="K66" s="6">
        <f t="shared" si="3"/>
        <v>0</v>
      </c>
      <c r="L66" s="6">
        <f>'Invoice Data'!$B66+'Invoice Data'!$D66-'Invoice Data'!$G66-'Invoice Data'!$K66+'Invoice Data'!$H66</f>
        <v>12030.8</v>
      </c>
      <c r="M66" s="6" t="e">
        <f>VLOOKUP('Invoice Data'!$A66,BPay!$B$4:$D$10,3,0)</f>
        <v>#N/A</v>
      </c>
      <c r="N66" s="8"/>
    </row>
    <row r="67" spans="1:14" x14ac:dyDescent="0.3">
      <c r="A67" s="12">
        <v>30954</v>
      </c>
      <c r="B67" s="6">
        <v>0</v>
      </c>
      <c r="C67" s="7"/>
      <c r="D67" s="6">
        <v>5089</v>
      </c>
      <c r="E67" s="7">
        <v>1</v>
      </c>
      <c r="F67" s="7" t="str">
        <f t="shared" si="0"/>
        <v/>
      </c>
      <c r="G67" s="6">
        <f t="shared" si="1"/>
        <v>0</v>
      </c>
      <c r="H67" s="6">
        <f t="shared" si="2"/>
        <v>0</v>
      </c>
      <c r="I67" s="7">
        <v>8</v>
      </c>
      <c r="J67" s="7"/>
      <c r="K67" s="6">
        <f t="shared" si="3"/>
        <v>0</v>
      </c>
      <c r="L67" s="6">
        <f>'Invoice Data'!$B67+'Invoice Data'!$D67-'Invoice Data'!$G67-'Invoice Data'!$K67+'Invoice Data'!$H67</f>
        <v>5089</v>
      </c>
      <c r="M67" s="6" t="e">
        <f>VLOOKUP('Invoice Data'!$A67,BPay!$B$4:$D$10,3,0)</f>
        <v>#N/A</v>
      </c>
      <c r="N67" s="8"/>
    </row>
    <row r="68" spans="1:14" x14ac:dyDescent="0.3">
      <c r="A68" s="12">
        <v>30963</v>
      </c>
      <c r="B68" s="6">
        <v>0</v>
      </c>
      <c r="C68" s="7"/>
      <c r="D68" s="6">
        <v>4888</v>
      </c>
      <c r="E68" s="7">
        <v>1</v>
      </c>
      <c r="F68" s="7" t="str">
        <f t="shared" si="0"/>
        <v/>
      </c>
      <c r="G68" s="6">
        <f t="shared" si="1"/>
        <v>0</v>
      </c>
      <c r="H68" s="6">
        <f t="shared" si="2"/>
        <v>0</v>
      </c>
      <c r="I68" s="7">
        <v>5</v>
      </c>
      <c r="J68" s="7"/>
      <c r="K68" s="6">
        <f t="shared" si="3"/>
        <v>0</v>
      </c>
      <c r="L68" s="6">
        <f>'Invoice Data'!$B68+'Invoice Data'!$D68-'Invoice Data'!$G68-'Invoice Data'!$K68+'Invoice Data'!$H68</f>
        <v>4888</v>
      </c>
      <c r="M68" s="6" t="e">
        <f>VLOOKUP('Invoice Data'!$A68,BPay!$B$4:$D$10,3,0)</f>
        <v>#N/A</v>
      </c>
      <c r="N68" s="8"/>
    </row>
    <row r="69" spans="1:14" x14ac:dyDescent="0.3">
      <c r="A69" s="12">
        <v>30972</v>
      </c>
      <c r="B69" s="6">
        <v>0</v>
      </c>
      <c r="C69" s="7"/>
      <c r="D69" s="6">
        <v>4884</v>
      </c>
      <c r="E69" s="7">
        <v>1</v>
      </c>
      <c r="F69" s="7" t="str">
        <f t="shared" si="0"/>
        <v/>
      </c>
      <c r="G69" s="6">
        <f t="shared" si="1"/>
        <v>0</v>
      </c>
      <c r="H69" s="6">
        <f t="shared" si="2"/>
        <v>0</v>
      </c>
      <c r="I69" s="7">
        <v>5</v>
      </c>
      <c r="J69" s="7"/>
      <c r="K69" s="6">
        <f t="shared" si="3"/>
        <v>0</v>
      </c>
      <c r="L69" s="6">
        <f>'Invoice Data'!$B69+'Invoice Data'!$D69-'Invoice Data'!$G69-'Invoice Data'!$K69+'Invoice Data'!$H69</f>
        <v>4884</v>
      </c>
      <c r="M69" s="6" t="e">
        <f>VLOOKUP('Invoice Data'!$A69,BPay!$B$4:$D$10,3,0)</f>
        <v>#N/A</v>
      </c>
      <c r="N69" s="8"/>
    </row>
    <row r="70" spans="1:14" x14ac:dyDescent="0.3">
      <c r="A70" s="12">
        <v>30981</v>
      </c>
      <c r="B70" s="6">
        <v>0</v>
      </c>
      <c r="C70" s="7"/>
      <c r="D70" s="6">
        <v>4529</v>
      </c>
      <c r="E70" s="7">
        <v>1</v>
      </c>
      <c r="F70" s="7" t="str">
        <f t="shared" si="0"/>
        <v/>
      </c>
      <c r="G70" s="6">
        <f t="shared" si="1"/>
        <v>0</v>
      </c>
      <c r="H70" s="6">
        <f t="shared" si="2"/>
        <v>0</v>
      </c>
      <c r="I70" s="7">
        <v>1</v>
      </c>
      <c r="J70" s="7"/>
      <c r="K70" s="6">
        <f t="shared" si="3"/>
        <v>0</v>
      </c>
      <c r="L70" s="6">
        <f>'Invoice Data'!$B70+'Invoice Data'!$D70-'Invoice Data'!$G70-'Invoice Data'!$K70+'Invoice Data'!$H70</f>
        <v>4529</v>
      </c>
      <c r="M70" s="6" t="e">
        <f>VLOOKUP('Invoice Data'!$A70,BPay!$B$4:$D$10,3,0)</f>
        <v>#N/A</v>
      </c>
      <c r="N70" s="8"/>
    </row>
    <row r="71" spans="1:14" x14ac:dyDescent="0.3">
      <c r="A71" s="12">
        <v>30990</v>
      </c>
      <c r="B71" s="6">
        <v>0</v>
      </c>
      <c r="C71" s="7"/>
      <c r="D71" s="6">
        <v>8843</v>
      </c>
      <c r="E71" s="7">
        <v>2</v>
      </c>
      <c r="F71" s="7" t="str">
        <f t="shared" si="0"/>
        <v>Y</v>
      </c>
      <c r="G71" s="6">
        <f t="shared" si="1"/>
        <v>442.15000000000003</v>
      </c>
      <c r="H71" s="6">
        <f t="shared" si="2"/>
        <v>0</v>
      </c>
      <c r="I71" s="7">
        <v>4</v>
      </c>
      <c r="J71" s="7"/>
      <c r="K71" s="6">
        <f t="shared" si="3"/>
        <v>0</v>
      </c>
      <c r="L71" s="6">
        <f>'Invoice Data'!$B71+'Invoice Data'!$D71-'Invoice Data'!$G71-'Invoice Data'!$K71+'Invoice Data'!$H71</f>
        <v>8400.85</v>
      </c>
      <c r="M71" s="6" t="e">
        <f>VLOOKUP('Invoice Data'!$A71,BPay!$B$4:$D$10,3,0)</f>
        <v>#N/A</v>
      </c>
      <c r="N71" s="8"/>
    </row>
    <row r="72" spans="1:14" x14ac:dyDescent="0.3">
      <c r="A72" s="12">
        <v>31007</v>
      </c>
      <c r="B72" s="6">
        <v>0</v>
      </c>
      <c r="C72" s="7"/>
      <c r="D72" s="6">
        <v>4118</v>
      </c>
      <c r="E72" s="7">
        <v>1</v>
      </c>
      <c r="F72" s="7" t="str">
        <f t="shared" si="0"/>
        <v/>
      </c>
      <c r="G72" s="6">
        <f t="shared" si="1"/>
        <v>0</v>
      </c>
      <c r="H72" s="6">
        <f t="shared" si="2"/>
        <v>0</v>
      </c>
      <c r="I72" s="7">
        <v>4</v>
      </c>
      <c r="J72" s="7"/>
      <c r="K72" s="6">
        <f t="shared" si="3"/>
        <v>0</v>
      </c>
      <c r="L72" s="6">
        <f>'Invoice Data'!$B72+'Invoice Data'!$D72-'Invoice Data'!$G72-'Invoice Data'!$K72+'Invoice Data'!$H72</f>
        <v>4118</v>
      </c>
      <c r="M72" s="6" t="e">
        <f>VLOOKUP('Invoice Data'!$A72,BPay!$B$4:$D$10,3,0)</f>
        <v>#N/A</v>
      </c>
      <c r="N72" s="8"/>
    </row>
    <row r="73" spans="1:14" x14ac:dyDescent="0.3">
      <c r="A73" s="12">
        <v>31016</v>
      </c>
      <c r="B73" s="6">
        <v>0</v>
      </c>
      <c r="C73" s="7"/>
      <c r="D73" s="6">
        <v>3673</v>
      </c>
      <c r="E73" s="7">
        <v>1</v>
      </c>
      <c r="F73" s="7" t="str">
        <f t="shared" ref="F73:F136" si="4">IF(E73&gt;=2,"Y", "")</f>
        <v/>
      </c>
      <c r="G73" s="6">
        <f t="shared" ref="G73:G136" si="5">IF(F73="y",D73*5%,0)</f>
        <v>0</v>
      </c>
      <c r="H73" s="6">
        <f t="shared" ref="H73:H136" si="6">IF(AND(B73&gt;0,C73&lt;&gt;"Y"),B73*10%,0)</f>
        <v>0</v>
      </c>
      <c r="I73" s="7">
        <v>10</v>
      </c>
      <c r="J73" s="7"/>
      <c r="K73" s="6">
        <f t="shared" ref="K73:K136" si="7">IF(OR(I73&gt;=16,J73),250,0)</f>
        <v>0</v>
      </c>
      <c r="L73" s="6">
        <f>'Invoice Data'!$B73+'Invoice Data'!$D73-'Invoice Data'!$G73-'Invoice Data'!$K73+'Invoice Data'!$H73</f>
        <v>3673</v>
      </c>
      <c r="M73" s="6" t="e">
        <f>VLOOKUP('Invoice Data'!$A73,BPay!$B$4:$D$10,3,0)</f>
        <v>#N/A</v>
      </c>
      <c r="N73" s="8"/>
    </row>
    <row r="74" spans="1:14" x14ac:dyDescent="0.3">
      <c r="A74" s="12">
        <v>31025</v>
      </c>
      <c r="B74" s="6">
        <v>0</v>
      </c>
      <c r="C74" s="7"/>
      <c r="D74" s="6">
        <v>3367</v>
      </c>
      <c r="E74" s="7">
        <v>1</v>
      </c>
      <c r="F74" s="7" t="str">
        <f t="shared" si="4"/>
        <v/>
      </c>
      <c r="G74" s="6">
        <f t="shared" si="5"/>
        <v>0</v>
      </c>
      <c r="H74" s="6">
        <f t="shared" si="6"/>
        <v>0</v>
      </c>
      <c r="I74" s="7">
        <v>16</v>
      </c>
      <c r="J74" s="7"/>
      <c r="K74" s="6">
        <f t="shared" si="7"/>
        <v>250</v>
      </c>
      <c r="L74" s="6">
        <f>'Invoice Data'!$B74+'Invoice Data'!$D74-'Invoice Data'!$G74-'Invoice Data'!$K74+'Invoice Data'!$H74</f>
        <v>3117</v>
      </c>
      <c r="M74" s="6" t="e">
        <f>VLOOKUP('Invoice Data'!$A74,BPay!$B$4:$D$10,3,0)</f>
        <v>#N/A</v>
      </c>
      <c r="N74" s="8"/>
    </row>
    <row r="75" spans="1:14" x14ac:dyDescent="0.3">
      <c r="A75" s="12">
        <v>31034</v>
      </c>
      <c r="B75" s="6">
        <v>0</v>
      </c>
      <c r="C75" s="7"/>
      <c r="D75" s="6">
        <v>3904</v>
      </c>
      <c r="E75" s="7">
        <v>1</v>
      </c>
      <c r="F75" s="7" t="str">
        <f t="shared" si="4"/>
        <v/>
      </c>
      <c r="G75" s="6">
        <f t="shared" si="5"/>
        <v>0</v>
      </c>
      <c r="H75" s="6">
        <f t="shared" si="6"/>
        <v>0</v>
      </c>
      <c r="I75" s="7">
        <v>0</v>
      </c>
      <c r="J75" s="7" t="b">
        <v>1</v>
      </c>
      <c r="K75" s="6">
        <f t="shared" si="7"/>
        <v>250</v>
      </c>
      <c r="L75" s="6">
        <f>'Invoice Data'!$B75+'Invoice Data'!$D75-'Invoice Data'!$G75-'Invoice Data'!$K75+'Invoice Data'!$H75</f>
        <v>3654</v>
      </c>
      <c r="M75" s="6" t="e">
        <f>VLOOKUP('Invoice Data'!$A75,BPay!$B$4:$D$10,3,0)</f>
        <v>#N/A</v>
      </c>
      <c r="N75" s="8"/>
    </row>
    <row r="76" spans="1:14" x14ac:dyDescent="0.3">
      <c r="A76" s="12">
        <v>31043</v>
      </c>
      <c r="B76" s="6">
        <v>0</v>
      </c>
      <c r="C76" s="7"/>
      <c r="D76" s="6">
        <v>6724</v>
      </c>
      <c r="E76" s="7">
        <v>2</v>
      </c>
      <c r="F76" s="7" t="str">
        <f t="shared" si="4"/>
        <v>Y</v>
      </c>
      <c r="G76" s="6">
        <f t="shared" si="5"/>
        <v>336.20000000000005</v>
      </c>
      <c r="H76" s="6">
        <f t="shared" si="6"/>
        <v>0</v>
      </c>
      <c r="I76" s="7">
        <v>6</v>
      </c>
      <c r="J76" s="7"/>
      <c r="K76" s="6">
        <f t="shared" si="7"/>
        <v>0</v>
      </c>
      <c r="L76" s="6">
        <f>'Invoice Data'!$B76+'Invoice Data'!$D76-'Invoice Data'!$G76-'Invoice Data'!$K76+'Invoice Data'!$H76</f>
        <v>6387.8</v>
      </c>
      <c r="M76" s="6" t="e">
        <f>VLOOKUP('Invoice Data'!$A76,BPay!$B$4:$D$10,3,0)</f>
        <v>#N/A</v>
      </c>
      <c r="N76" s="8"/>
    </row>
    <row r="77" spans="1:14" x14ac:dyDescent="0.3">
      <c r="A77" s="12">
        <v>31052</v>
      </c>
      <c r="B77" s="6">
        <v>0</v>
      </c>
      <c r="C77" s="7"/>
      <c r="D77" s="6">
        <v>4386</v>
      </c>
      <c r="E77" s="7">
        <v>1</v>
      </c>
      <c r="F77" s="7" t="str">
        <f t="shared" si="4"/>
        <v/>
      </c>
      <c r="G77" s="6">
        <f t="shared" si="5"/>
        <v>0</v>
      </c>
      <c r="H77" s="6">
        <f t="shared" si="6"/>
        <v>0</v>
      </c>
      <c r="I77" s="7">
        <v>10</v>
      </c>
      <c r="J77" s="7"/>
      <c r="K77" s="6">
        <f t="shared" si="7"/>
        <v>0</v>
      </c>
      <c r="L77" s="6">
        <f>'Invoice Data'!$B77+'Invoice Data'!$D77-'Invoice Data'!$G77-'Invoice Data'!$K77+'Invoice Data'!$H77</f>
        <v>4386</v>
      </c>
      <c r="M77" s="6" t="e">
        <f>VLOOKUP('Invoice Data'!$A77,BPay!$B$4:$D$10,3,0)</f>
        <v>#N/A</v>
      </c>
      <c r="N77" s="8"/>
    </row>
    <row r="78" spans="1:14" x14ac:dyDescent="0.3">
      <c r="A78" s="12">
        <v>31061</v>
      </c>
      <c r="B78" s="6">
        <v>0</v>
      </c>
      <c r="C78" s="7"/>
      <c r="D78" s="6">
        <v>3870</v>
      </c>
      <c r="E78" s="7">
        <v>1</v>
      </c>
      <c r="F78" s="7" t="str">
        <f t="shared" si="4"/>
        <v/>
      </c>
      <c r="G78" s="6">
        <f t="shared" si="5"/>
        <v>0</v>
      </c>
      <c r="H78" s="6">
        <f t="shared" si="6"/>
        <v>0</v>
      </c>
      <c r="I78" s="7">
        <v>4</v>
      </c>
      <c r="J78" s="7"/>
      <c r="K78" s="6">
        <f t="shared" si="7"/>
        <v>0</v>
      </c>
      <c r="L78" s="6">
        <f>'Invoice Data'!$B78+'Invoice Data'!$D78-'Invoice Data'!$G78-'Invoice Data'!$K78+'Invoice Data'!$H78</f>
        <v>3870</v>
      </c>
      <c r="M78" s="6" t="e">
        <f>VLOOKUP('Invoice Data'!$A78,BPay!$B$4:$D$10,3,0)</f>
        <v>#N/A</v>
      </c>
      <c r="N78" s="8"/>
    </row>
    <row r="79" spans="1:14" x14ac:dyDescent="0.3">
      <c r="A79" s="12">
        <v>31070</v>
      </c>
      <c r="B79" s="6">
        <v>0</v>
      </c>
      <c r="C79" s="7"/>
      <c r="D79" s="6">
        <v>7291</v>
      </c>
      <c r="E79" s="7">
        <v>2</v>
      </c>
      <c r="F79" s="7" t="str">
        <f t="shared" si="4"/>
        <v>Y</v>
      </c>
      <c r="G79" s="6">
        <f t="shared" si="5"/>
        <v>364.55</v>
      </c>
      <c r="H79" s="6">
        <f t="shared" si="6"/>
        <v>0</v>
      </c>
      <c r="I79" s="7">
        <v>12</v>
      </c>
      <c r="J79" s="7"/>
      <c r="K79" s="6">
        <f t="shared" si="7"/>
        <v>0</v>
      </c>
      <c r="L79" s="6">
        <f>'Invoice Data'!$B79+'Invoice Data'!$D79-'Invoice Data'!$G79-'Invoice Data'!$K79+'Invoice Data'!$H79</f>
        <v>6926.45</v>
      </c>
      <c r="M79" s="6" t="e">
        <f>VLOOKUP('Invoice Data'!$A79,BPay!$B$4:$D$10,3,0)</f>
        <v>#N/A</v>
      </c>
      <c r="N79" s="8"/>
    </row>
    <row r="80" spans="1:14" x14ac:dyDescent="0.3">
      <c r="A80" s="12">
        <v>31089</v>
      </c>
      <c r="B80" s="6">
        <v>0</v>
      </c>
      <c r="C80" s="7"/>
      <c r="D80" s="6">
        <v>3523</v>
      </c>
      <c r="E80" s="7">
        <v>1</v>
      </c>
      <c r="F80" s="7" t="str">
        <f t="shared" si="4"/>
        <v/>
      </c>
      <c r="G80" s="6">
        <f t="shared" si="5"/>
        <v>0</v>
      </c>
      <c r="H80" s="6">
        <f t="shared" si="6"/>
        <v>0</v>
      </c>
      <c r="I80" s="7">
        <v>5</v>
      </c>
      <c r="J80" s="7"/>
      <c r="K80" s="6">
        <f t="shared" si="7"/>
        <v>0</v>
      </c>
      <c r="L80" s="6">
        <f>'Invoice Data'!$B80+'Invoice Data'!$D80-'Invoice Data'!$G80-'Invoice Data'!$K80+'Invoice Data'!$H80</f>
        <v>3523</v>
      </c>
      <c r="M80" s="6" t="e">
        <f>VLOOKUP('Invoice Data'!$A80,BPay!$B$4:$D$10,3,0)</f>
        <v>#N/A</v>
      </c>
      <c r="N80" s="8"/>
    </row>
    <row r="81" spans="1:14" x14ac:dyDescent="0.3">
      <c r="A81" s="12">
        <v>31098</v>
      </c>
      <c r="B81" s="6">
        <v>0</v>
      </c>
      <c r="C81" s="7"/>
      <c r="D81" s="6">
        <v>4118</v>
      </c>
      <c r="E81" s="7">
        <v>1</v>
      </c>
      <c r="F81" s="7" t="str">
        <f t="shared" si="4"/>
        <v/>
      </c>
      <c r="G81" s="6">
        <f t="shared" si="5"/>
        <v>0</v>
      </c>
      <c r="H81" s="6">
        <f t="shared" si="6"/>
        <v>0</v>
      </c>
      <c r="I81" s="7">
        <v>10</v>
      </c>
      <c r="J81" s="7"/>
      <c r="K81" s="6">
        <f t="shared" si="7"/>
        <v>0</v>
      </c>
      <c r="L81" s="6">
        <f>'Invoice Data'!$B81+'Invoice Data'!$D81-'Invoice Data'!$G81-'Invoice Data'!$K81+'Invoice Data'!$H81</f>
        <v>4118</v>
      </c>
      <c r="M81" s="6" t="e">
        <f>VLOOKUP('Invoice Data'!$A81,BPay!$B$4:$D$10,3,0)</f>
        <v>#N/A</v>
      </c>
      <c r="N81" s="8"/>
    </row>
    <row r="82" spans="1:14" x14ac:dyDescent="0.3">
      <c r="A82" s="12">
        <v>31105</v>
      </c>
      <c r="B82" s="6">
        <v>0</v>
      </c>
      <c r="C82" s="7"/>
      <c r="D82" s="6">
        <v>3834</v>
      </c>
      <c r="E82" s="7">
        <v>1</v>
      </c>
      <c r="F82" s="7" t="str">
        <f t="shared" si="4"/>
        <v/>
      </c>
      <c r="G82" s="6">
        <f t="shared" si="5"/>
        <v>0</v>
      </c>
      <c r="H82" s="6">
        <f t="shared" si="6"/>
        <v>0</v>
      </c>
      <c r="I82" s="7">
        <v>13</v>
      </c>
      <c r="J82" s="7"/>
      <c r="K82" s="6">
        <f t="shared" si="7"/>
        <v>0</v>
      </c>
      <c r="L82" s="6">
        <f>'Invoice Data'!$B82+'Invoice Data'!$D82-'Invoice Data'!$G82-'Invoice Data'!$K82+'Invoice Data'!$H82</f>
        <v>3834</v>
      </c>
      <c r="M82" s="6" t="e">
        <f>VLOOKUP('Invoice Data'!$A82,BPay!$B$4:$D$10,3,0)</f>
        <v>#N/A</v>
      </c>
      <c r="N82" s="8"/>
    </row>
    <row r="83" spans="1:14" x14ac:dyDescent="0.3">
      <c r="A83" s="12">
        <v>31114</v>
      </c>
      <c r="B83" s="6">
        <v>0</v>
      </c>
      <c r="C83" s="7"/>
      <c r="D83" s="6">
        <v>9506</v>
      </c>
      <c r="E83" s="7">
        <v>2</v>
      </c>
      <c r="F83" s="7" t="str">
        <f t="shared" si="4"/>
        <v>Y</v>
      </c>
      <c r="G83" s="6">
        <f t="shared" si="5"/>
        <v>475.3</v>
      </c>
      <c r="H83" s="6">
        <f t="shared" si="6"/>
        <v>0</v>
      </c>
      <c r="I83" s="7">
        <v>1</v>
      </c>
      <c r="J83" s="7"/>
      <c r="K83" s="6">
        <f t="shared" si="7"/>
        <v>0</v>
      </c>
      <c r="L83" s="6">
        <f>'Invoice Data'!$B83+'Invoice Data'!$D83-'Invoice Data'!$G83-'Invoice Data'!$K83+'Invoice Data'!$H83</f>
        <v>9030.7000000000007</v>
      </c>
      <c r="M83" s="6" t="e">
        <f>VLOOKUP('Invoice Data'!$A83,BPay!$B$4:$D$10,3,0)</f>
        <v>#N/A</v>
      </c>
      <c r="N83" s="8"/>
    </row>
    <row r="84" spans="1:14" x14ac:dyDescent="0.3">
      <c r="A84" s="12">
        <v>31123</v>
      </c>
      <c r="B84" s="6">
        <v>0</v>
      </c>
      <c r="C84" s="7"/>
      <c r="D84" s="6">
        <v>9293</v>
      </c>
      <c r="E84" s="7">
        <v>2</v>
      </c>
      <c r="F84" s="7" t="str">
        <f t="shared" si="4"/>
        <v>Y</v>
      </c>
      <c r="G84" s="6">
        <f t="shared" si="5"/>
        <v>464.65000000000003</v>
      </c>
      <c r="H84" s="6">
        <f t="shared" si="6"/>
        <v>0</v>
      </c>
      <c r="I84" s="7">
        <v>14</v>
      </c>
      <c r="J84" s="7"/>
      <c r="K84" s="6">
        <f t="shared" si="7"/>
        <v>0</v>
      </c>
      <c r="L84" s="6">
        <f>'Invoice Data'!$B84+'Invoice Data'!$D84-'Invoice Data'!$G84-'Invoice Data'!$K84+'Invoice Data'!$H84</f>
        <v>8828.35</v>
      </c>
      <c r="M84" s="6" t="e">
        <f>VLOOKUP('Invoice Data'!$A84,BPay!$B$4:$D$10,3,0)</f>
        <v>#N/A</v>
      </c>
      <c r="N84" s="8"/>
    </row>
    <row r="85" spans="1:14" x14ac:dyDescent="0.3">
      <c r="A85" s="12">
        <v>31132</v>
      </c>
      <c r="B85" s="6">
        <v>0</v>
      </c>
      <c r="C85" s="7"/>
      <c r="D85" s="6">
        <v>8464</v>
      </c>
      <c r="E85" s="7">
        <v>2</v>
      </c>
      <c r="F85" s="7" t="str">
        <f t="shared" si="4"/>
        <v>Y</v>
      </c>
      <c r="G85" s="6">
        <f t="shared" si="5"/>
        <v>423.20000000000005</v>
      </c>
      <c r="H85" s="6">
        <f t="shared" si="6"/>
        <v>0</v>
      </c>
      <c r="I85" s="7">
        <v>15</v>
      </c>
      <c r="J85" s="7"/>
      <c r="K85" s="6">
        <f t="shared" si="7"/>
        <v>0</v>
      </c>
      <c r="L85" s="6">
        <f>'Invoice Data'!$B85+'Invoice Data'!$D85-'Invoice Data'!$G85-'Invoice Data'!$K85+'Invoice Data'!$H85</f>
        <v>8040.8</v>
      </c>
      <c r="M85" s="6" t="e">
        <f>VLOOKUP('Invoice Data'!$A85,BPay!$B$4:$D$10,3,0)</f>
        <v>#N/A</v>
      </c>
      <c r="N85" s="8"/>
    </row>
    <row r="86" spans="1:14" x14ac:dyDescent="0.3">
      <c r="A86" s="12">
        <v>31141</v>
      </c>
      <c r="B86" s="6">
        <v>0</v>
      </c>
      <c r="C86" s="7"/>
      <c r="D86" s="6">
        <v>10173</v>
      </c>
      <c r="E86" s="7">
        <v>2</v>
      </c>
      <c r="F86" s="7" t="str">
        <f t="shared" si="4"/>
        <v>Y</v>
      </c>
      <c r="G86" s="6">
        <f t="shared" si="5"/>
        <v>508.65000000000003</v>
      </c>
      <c r="H86" s="6">
        <f t="shared" si="6"/>
        <v>0</v>
      </c>
      <c r="I86" s="7">
        <v>4</v>
      </c>
      <c r="J86" s="7"/>
      <c r="K86" s="6">
        <f t="shared" si="7"/>
        <v>0</v>
      </c>
      <c r="L86" s="6">
        <f>'Invoice Data'!$B86+'Invoice Data'!$D86-'Invoice Data'!$G86-'Invoice Data'!$K86+'Invoice Data'!$H86</f>
        <v>9664.35</v>
      </c>
      <c r="M86" s="6" t="e">
        <f>VLOOKUP('Invoice Data'!$A86,BPay!$B$4:$D$10,3,0)</f>
        <v>#N/A</v>
      </c>
      <c r="N86" s="8"/>
    </row>
    <row r="87" spans="1:14" x14ac:dyDescent="0.3">
      <c r="A87" s="12">
        <v>31150</v>
      </c>
      <c r="B87" s="6">
        <v>0</v>
      </c>
      <c r="C87" s="7"/>
      <c r="D87" s="6">
        <v>8991</v>
      </c>
      <c r="E87" s="7">
        <v>2</v>
      </c>
      <c r="F87" s="7" t="str">
        <f t="shared" si="4"/>
        <v>Y</v>
      </c>
      <c r="G87" s="6">
        <f t="shared" si="5"/>
        <v>449.55</v>
      </c>
      <c r="H87" s="6">
        <f t="shared" si="6"/>
        <v>0</v>
      </c>
      <c r="I87" s="7">
        <v>14</v>
      </c>
      <c r="J87" s="7"/>
      <c r="K87" s="6">
        <f t="shared" si="7"/>
        <v>0</v>
      </c>
      <c r="L87" s="6">
        <f>'Invoice Data'!$B87+'Invoice Data'!$D87-'Invoice Data'!$G87-'Invoice Data'!$K87+'Invoice Data'!$H87</f>
        <v>8541.4500000000007</v>
      </c>
      <c r="M87" s="6" t="e">
        <f>VLOOKUP('Invoice Data'!$A87,BPay!$B$4:$D$10,3,0)</f>
        <v>#N/A</v>
      </c>
      <c r="N87" s="8"/>
    </row>
    <row r="88" spans="1:14" x14ac:dyDescent="0.3">
      <c r="A88" s="12">
        <v>31169</v>
      </c>
      <c r="B88" s="6">
        <v>0</v>
      </c>
      <c r="C88" s="7"/>
      <c r="D88" s="6">
        <v>10404</v>
      </c>
      <c r="E88" s="7">
        <v>2</v>
      </c>
      <c r="F88" s="7" t="str">
        <f t="shared" si="4"/>
        <v>Y</v>
      </c>
      <c r="G88" s="6">
        <f t="shared" si="5"/>
        <v>520.20000000000005</v>
      </c>
      <c r="H88" s="6">
        <f t="shared" si="6"/>
        <v>0</v>
      </c>
      <c r="I88" s="7">
        <v>6</v>
      </c>
      <c r="J88" s="7"/>
      <c r="K88" s="6">
        <f t="shared" si="7"/>
        <v>0</v>
      </c>
      <c r="L88" s="6">
        <f>'Invoice Data'!$B88+'Invoice Data'!$D88-'Invoice Data'!$G88-'Invoice Data'!$K88+'Invoice Data'!$H88</f>
        <v>9883.7999999999993</v>
      </c>
      <c r="M88" s="6" t="e">
        <f>VLOOKUP('Invoice Data'!$A88,BPay!$B$4:$D$10,3,0)</f>
        <v>#N/A</v>
      </c>
      <c r="N88" s="8"/>
    </row>
    <row r="89" spans="1:14" x14ac:dyDescent="0.3">
      <c r="A89" s="12">
        <v>31178</v>
      </c>
      <c r="B89" s="6">
        <v>0</v>
      </c>
      <c r="C89" s="7"/>
      <c r="D89" s="6">
        <v>8185</v>
      </c>
      <c r="E89" s="7">
        <v>2</v>
      </c>
      <c r="F89" s="7" t="str">
        <f t="shared" si="4"/>
        <v>Y</v>
      </c>
      <c r="G89" s="6">
        <f t="shared" si="5"/>
        <v>409.25</v>
      </c>
      <c r="H89" s="6">
        <f t="shared" si="6"/>
        <v>0</v>
      </c>
      <c r="I89" s="7">
        <v>14</v>
      </c>
      <c r="J89" s="7"/>
      <c r="K89" s="6">
        <f t="shared" si="7"/>
        <v>0</v>
      </c>
      <c r="L89" s="6">
        <f>'Invoice Data'!$B89+'Invoice Data'!$D89-'Invoice Data'!$G89-'Invoice Data'!$K89+'Invoice Data'!$H89</f>
        <v>7775.75</v>
      </c>
      <c r="M89" s="6" t="e">
        <f>VLOOKUP('Invoice Data'!$A89,BPay!$B$4:$D$10,3,0)</f>
        <v>#N/A</v>
      </c>
      <c r="N89" s="8"/>
    </row>
    <row r="90" spans="1:14" x14ac:dyDescent="0.3">
      <c r="A90" s="12">
        <v>31187</v>
      </c>
      <c r="B90" s="6">
        <v>0</v>
      </c>
      <c r="C90" s="7"/>
      <c r="D90" s="6">
        <v>4530</v>
      </c>
      <c r="E90" s="7">
        <v>1</v>
      </c>
      <c r="F90" s="7" t="str">
        <f t="shared" si="4"/>
        <v/>
      </c>
      <c r="G90" s="6">
        <f t="shared" si="5"/>
        <v>0</v>
      </c>
      <c r="H90" s="6">
        <f t="shared" si="6"/>
        <v>0</v>
      </c>
      <c r="I90" s="7">
        <v>13</v>
      </c>
      <c r="J90" s="7"/>
      <c r="K90" s="6">
        <f t="shared" si="7"/>
        <v>0</v>
      </c>
      <c r="L90" s="6">
        <f>'Invoice Data'!$B90+'Invoice Data'!$D90-'Invoice Data'!$G90-'Invoice Data'!$K90+'Invoice Data'!$H90</f>
        <v>4530</v>
      </c>
      <c r="M90" s="6" t="e">
        <f>VLOOKUP('Invoice Data'!$A90,BPay!$B$4:$D$10,3,0)</f>
        <v>#N/A</v>
      </c>
      <c r="N90" s="8"/>
    </row>
    <row r="91" spans="1:14" x14ac:dyDescent="0.3">
      <c r="A91" s="12">
        <v>31196</v>
      </c>
      <c r="B91" s="6">
        <v>0</v>
      </c>
      <c r="C91" s="7"/>
      <c r="D91" s="6">
        <v>9076</v>
      </c>
      <c r="E91" s="7">
        <v>2</v>
      </c>
      <c r="F91" s="7" t="str">
        <f t="shared" si="4"/>
        <v>Y</v>
      </c>
      <c r="G91" s="6">
        <f t="shared" si="5"/>
        <v>453.8</v>
      </c>
      <c r="H91" s="6">
        <f t="shared" si="6"/>
        <v>0</v>
      </c>
      <c r="I91" s="7">
        <v>13</v>
      </c>
      <c r="J91" s="7"/>
      <c r="K91" s="6">
        <f t="shared" si="7"/>
        <v>0</v>
      </c>
      <c r="L91" s="6">
        <f>'Invoice Data'!$B91+'Invoice Data'!$D91-'Invoice Data'!$G91-'Invoice Data'!$K91+'Invoice Data'!$H91</f>
        <v>8622.2000000000007</v>
      </c>
      <c r="M91" s="6" t="e">
        <f>VLOOKUP('Invoice Data'!$A91,BPay!$B$4:$D$10,3,0)</f>
        <v>#N/A</v>
      </c>
      <c r="N91" s="8"/>
    </row>
    <row r="92" spans="1:14" x14ac:dyDescent="0.3">
      <c r="A92" s="12">
        <v>31203</v>
      </c>
      <c r="B92" s="6">
        <v>0</v>
      </c>
      <c r="C92" s="7"/>
      <c r="D92" s="6">
        <v>4873</v>
      </c>
      <c r="E92" s="7">
        <v>1</v>
      </c>
      <c r="F92" s="7" t="str">
        <f t="shared" si="4"/>
        <v/>
      </c>
      <c r="G92" s="6">
        <f t="shared" si="5"/>
        <v>0</v>
      </c>
      <c r="H92" s="6">
        <f t="shared" si="6"/>
        <v>0</v>
      </c>
      <c r="I92" s="7">
        <v>2</v>
      </c>
      <c r="J92" s="7"/>
      <c r="K92" s="6">
        <f t="shared" si="7"/>
        <v>0</v>
      </c>
      <c r="L92" s="6">
        <f>'Invoice Data'!$B92+'Invoice Data'!$D92-'Invoice Data'!$G92-'Invoice Data'!$K92+'Invoice Data'!$H92</f>
        <v>4873</v>
      </c>
      <c r="M92" s="6" t="e">
        <f>VLOOKUP('Invoice Data'!$A92,BPay!$B$4:$D$10,3,0)</f>
        <v>#N/A</v>
      </c>
      <c r="N92" s="8"/>
    </row>
    <row r="93" spans="1:14" x14ac:dyDescent="0.3">
      <c r="A93" s="12">
        <v>31212</v>
      </c>
      <c r="B93" s="6">
        <v>0</v>
      </c>
      <c r="C93" s="7"/>
      <c r="D93" s="6">
        <v>9159</v>
      </c>
      <c r="E93" s="7">
        <v>2</v>
      </c>
      <c r="F93" s="7" t="str">
        <f t="shared" si="4"/>
        <v>Y</v>
      </c>
      <c r="G93" s="6">
        <f t="shared" si="5"/>
        <v>457.95000000000005</v>
      </c>
      <c r="H93" s="6">
        <f t="shared" si="6"/>
        <v>0</v>
      </c>
      <c r="I93" s="7">
        <v>1</v>
      </c>
      <c r="J93" s="7"/>
      <c r="K93" s="6">
        <f t="shared" si="7"/>
        <v>0</v>
      </c>
      <c r="L93" s="6">
        <f>'Invoice Data'!$B93+'Invoice Data'!$D93-'Invoice Data'!$G93-'Invoice Data'!$K93+'Invoice Data'!$H93</f>
        <v>8701.0499999999993</v>
      </c>
      <c r="M93" s="6" t="e">
        <f>VLOOKUP('Invoice Data'!$A93,BPay!$B$4:$D$10,3,0)</f>
        <v>#N/A</v>
      </c>
      <c r="N93" s="8"/>
    </row>
    <row r="94" spans="1:14" x14ac:dyDescent="0.3">
      <c r="A94" s="12">
        <v>31221</v>
      </c>
      <c r="B94" s="6">
        <v>0</v>
      </c>
      <c r="C94" s="7"/>
      <c r="D94" s="6">
        <v>7064</v>
      </c>
      <c r="E94" s="7">
        <v>2</v>
      </c>
      <c r="F94" s="7" t="str">
        <f t="shared" si="4"/>
        <v>Y</v>
      </c>
      <c r="G94" s="6">
        <f t="shared" si="5"/>
        <v>353.20000000000005</v>
      </c>
      <c r="H94" s="6">
        <f t="shared" si="6"/>
        <v>0</v>
      </c>
      <c r="I94" s="7">
        <v>1</v>
      </c>
      <c r="J94" s="7"/>
      <c r="K94" s="6">
        <f t="shared" si="7"/>
        <v>0</v>
      </c>
      <c r="L94" s="6">
        <f>'Invoice Data'!$B94+'Invoice Data'!$D94-'Invoice Data'!$G94-'Invoice Data'!$K94+'Invoice Data'!$H94</f>
        <v>6710.8</v>
      </c>
      <c r="M94" s="6" t="e">
        <f>VLOOKUP('Invoice Data'!$A94,BPay!$B$4:$D$10,3,0)</f>
        <v>#N/A</v>
      </c>
      <c r="N94" s="8"/>
    </row>
    <row r="95" spans="1:14" x14ac:dyDescent="0.3">
      <c r="A95" s="12">
        <v>31230</v>
      </c>
      <c r="B95" s="6">
        <v>0</v>
      </c>
      <c r="C95" s="7"/>
      <c r="D95" s="6">
        <v>8640</v>
      </c>
      <c r="E95" s="7">
        <v>2</v>
      </c>
      <c r="F95" s="7" t="str">
        <f t="shared" si="4"/>
        <v>Y</v>
      </c>
      <c r="G95" s="6">
        <f t="shared" si="5"/>
        <v>432</v>
      </c>
      <c r="H95" s="6">
        <f t="shared" si="6"/>
        <v>0</v>
      </c>
      <c r="I95" s="7">
        <v>16</v>
      </c>
      <c r="J95" s="7"/>
      <c r="K95" s="6">
        <f t="shared" si="7"/>
        <v>250</v>
      </c>
      <c r="L95" s="6">
        <f>'Invoice Data'!$B95+'Invoice Data'!$D95-'Invoice Data'!$G95-'Invoice Data'!$K95+'Invoice Data'!$H95</f>
        <v>7958</v>
      </c>
      <c r="M95" s="6" t="e">
        <f>VLOOKUP('Invoice Data'!$A95,BPay!$B$4:$D$10,3,0)</f>
        <v>#N/A</v>
      </c>
      <c r="N95" s="8"/>
    </row>
    <row r="96" spans="1:14" x14ac:dyDescent="0.3">
      <c r="A96" s="12">
        <v>31249</v>
      </c>
      <c r="B96" s="6">
        <v>0</v>
      </c>
      <c r="C96" s="7"/>
      <c r="D96" s="6">
        <v>10032</v>
      </c>
      <c r="E96" s="7">
        <v>2</v>
      </c>
      <c r="F96" s="7" t="str">
        <f t="shared" si="4"/>
        <v>Y</v>
      </c>
      <c r="G96" s="6">
        <f t="shared" si="5"/>
        <v>501.6</v>
      </c>
      <c r="H96" s="6">
        <f t="shared" si="6"/>
        <v>0</v>
      </c>
      <c r="I96" s="7">
        <v>12</v>
      </c>
      <c r="J96" s="7"/>
      <c r="K96" s="6">
        <f t="shared" si="7"/>
        <v>0</v>
      </c>
      <c r="L96" s="6">
        <f>'Invoice Data'!$B96+'Invoice Data'!$D96-'Invoice Data'!$G96-'Invoice Data'!$K96+'Invoice Data'!$H96</f>
        <v>9530.4</v>
      </c>
      <c r="M96" s="6" t="e">
        <f>VLOOKUP('Invoice Data'!$A96,BPay!$B$4:$D$10,3,0)</f>
        <v>#N/A</v>
      </c>
      <c r="N96" s="8"/>
    </row>
    <row r="97" spans="1:14" x14ac:dyDescent="0.3">
      <c r="A97" s="12">
        <v>31258</v>
      </c>
      <c r="B97" s="6">
        <v>0</v>
      </c>
      <c r="C97" s="7"/>
      <c r="D97" s="6">
        <v>3167</v>
      </c>
      <c r="E97" s="7">
        <v>1</v>
      </c>
      <c r="F97" s="7" t="str">
        <f t="shared" si="4"/>
        <v/>
      </c>
      <c r="G97" s="6">
        <f t="shared" si="5"/>
        <v>0</v>
      </c>
      <c r="H97" s="6">
        <f t="shared" si="6"/>
        <v>0</v>
      </c>
      <c r="I97" s="7">
        <v>5</v>
      </c>
      <c r="J97" s="7"/>
      <c r="K97" s="6">
        <f t="shared" si="7"/>
        <v>0</v>
      </c>
      <c r="L97" s="6">
        <f>'Invoice Data'!$B97+'Invoice Data'!$D97-'Invoice Data'!$G97-'Invoice Data'!$K97+'Invoice Data'!$H97</f>
        <v>3167</v>
      </c>
      <c r="M97" s="6" t="e">
        <f>VLOOKUP('Invoice Data'!$A97,BPay!$B$4:$D$10,3,0)</f>
        <v>#N/A</v>
      </c>
      <c r="N97" s="8"/>
    </row>
    <row r="98" spans="1:14" x14ac:dyDescent="0.3">
      <c r="A98" s="12">
        <v>31267</v>
      </c>
      <c r="B98" s="6">
        <v>0</v>
      </c>
      <c r="C98" s="7"/>
      <c r="D98" s="6">
        <v>7350</v>
      </c>
      <c r="E98" s="7">
        <v>2</v>
      </c>
      <c r="F98" s="7" t="str">
        <f t="shared" si="4"/>
        <v>Y</v>
      </c>
      <c r="G98" s="6">
        <f t="shared" si="5"/>
        <v>367.5</v>
      </c>
      <c r="H98" s="6">
        <f t="shared" si="6"/>
        <v>0</v>
      </c>
      <c r="I98" s="7">
        <v>16</v>
      </c>
      <c r="J98" s="7"/>
      <c r="K98" s="6">
        <f t="shared" si="7"/>
        <v>250</v>
      </c>
      <c r="L98" s="6">
        <f>'Invoice Data'!$B98+'Invoice Data'!$D98-'Invoice Data'!$G98-'Invoice Data'!$K98+'Invoice Data'!$H98</f>
        <v>6732.5</v>
      </c>
      <c r="M98" s="6" t="e">
        <f>VLOOKUP('Invoice Data'!$A98,BPay!$B$4:$D$10,3,0)</f>
        <v>#N/A</v>
      </c>
      <c r="N98" s="8"/>
    </row>
    <row r="99" spans="1:14" x14ac:dyDescent="0.3">
      <c r="A99" s="12">
        <v>31276</v>
      </c>
      <c r="B99" s="6">
        <v>0</v>
      </c>
      <c r="C99" s="7"/>
      <c r="D99" s="6">
        <v>3705</v>
      </c>
      <c r="E99" s="7">
        <v>1</v>
      </c>
      <c r="F99" s="7" t="str">
        <f t="shared" si="4"/>
        <v/>
      </c>
      <c r="G99" s="6">
        <f t="shared" si="5"/>
        <v>0</v>
      </c>
      <c r="H99" s="6">
        <f t="shared" si="6"/>
        <v>0</v>
      </c>
      <c r="I99" s="7">
        <v>5</v>
      </c>
      <c r="J99" s="7"/>
      <c r="K99" s="6">
        <f t="shared" si="7"/>
        <v>0</v>
      </c>
      <c r="L99" s="6">
        <f>'Invoice Data'!$B99+'Invoice Data'!$D99-'Invoice Data'!$G99-'Invoice Data'!$K99+'Invoice Data'!$H99</f>
        <v>3705</v>
      </c>
      <c r="M99" s="6" t="e">
        <f>VLOOKUP('Invoice Data'!$A99,BPay!$B$4:$D$10,3,0)</f>
        <v>#N/A</v>
      </c>
      <c r="N99" s="8"/>
    </row>
    <row r="100" spans="1:14" x14ac:dyDescent="0.3">
      <c r="A100" s="12">
        <v>31285</v>
      </c>
      <c r="B100" s="6">
        <v>0</v>
      </c>
      <c r="C100" s="7"/>
      <c r="D100" s="6">
        <v>9142</v>
      </c>
      <c r="E100" s="7">
        <v>2</v>
      </c>
      <c r="F100" s="7" t="str">
        <f t="shared" si="4"/>
        <v>Y</v>
      </c>
      <c r="G100" s="6">
        <f t="shared" si="5"/>
        <v>457.1</v>
      </c>
      <c r="H100" s="6">
        <f t="shared" si="6"/>
        <v>0</v>
      </c>
      <c r="I100" s="7">
        <v>8</v>
      </c>
      <c r="J100" s="7"/>
      <c r="K100" s="6">
        <f t="shared" si="7"/>
        <v>0</v>
      </c>
      <c r="L100" s="6">
        <f>'Invoice Data'!$B100+'Invoice Data'!$D100-'Invoice Data'!$G100-'Invoice Data'!$K100+'Invoice Data'!$H100</f>
        <v>8684.9</v>
      </c>
      <c r="M100" s="6" t="e">
        <f>VLOOKUP('Invoice Data'!$A100,BPay!$B$4:$D$10,3,0)</f>
        <v>#N/A</v>
      </c>
      <c r="N100" s="8"/>
    </row>
    <row r="101" spans="1:14" x14ac:dyDescent="0.3">
      <c r="A101" s="12">
        <v>31294</v>
      </c>
      <c r="B101" s="6">
        <v>0</v>
      </c>
      <c r="C101" s="7"/>
      <c r="D101" s="6">
        <v>8618</v>
      </c>
      <c r="E101" s="7">
        <v>2</v>
      </c>
      <c r="F101" s="7" t="str">
        <f t="shared" si="4"/>
        <v>Y</v>
      </c>
      <c r="G101" s="6">
        <f t="shared" si="5"/>
        <v>430.90000000000003</v>
      </c>
      <c r="H101" s="6">
        <f t="shared" si="6"/>
        <v>0</v>
      </c>
      <c r="I101" s="7">
        <v>11</v>
      </c>
      <c r="J101" s="7"/>
      <c r="K101" s="6">
        <f t="shared" si="7"/>
        <v>0</v>
      </c>
      <c r="L101" s="6">
        <f>'Invoice Data'!$B101+'Invoice Data'!$D101-'Invoice Data'!$G101-'Invoice Data'!$K101+'Invoice Data'!$H101</f>
        <v>8187.1</v>
      </c>
      <c r="M101" s="6" t="e">
        <f>VLOOKUP('Invoice Data'!$A101,BPay!$B$4:$D$10,3,0)</f>
        <v>#N/A</v>
      </c>
      <c r="N101" s="8"/>
    </row>
    <row r="102" spans="1:14" x14ac:dyDescent="0.3">
      <c r="A102" s="12">
        <v>31301</v>
      </c>
      <c r="B102" s="6">
        <v>0</v>
      </c>
      <c r="C102" s="7"/>
      <c r="D102" s="6">
        <v>5608</v>
      </c>
      <c r="E102" s="7">
        <v>1</v>
      </c>
      <c r="F102" s="7" t="str">
        <f t="shared" si="4"/>
        <v/>
      </c>
      <c r="G102" s="6">
        <f t="shared" si="5"/>
        <v>0</v>
      </c>
      <c r="H102" s="6">
        <f t="shared" si="6"/>
        <v>0</v>
      </c>
      <c r="I102" s="7">
        <v>4</v>
      </c>
      <c r="J102" s="7"/>
      <c r="K102" s="6">
        <f t="shared" si="7"/>
        <v>0</v>
      </c>
      <c r="L102" s="6">
        <f>'Invoice Data'!$B102+'Invoice Data'!$D102-'Invoice Data'!$G102-'Invoice Data'!$K102+'Invoice Data'!$H102</f>
        <v>5608</v>
      </c>
      <c r="M102" s="6" t="e">
        <f>VLOOKUP('Invoice Data'!$A102,BPay!$B$4:$D$10,3,0)</f>
        <v>#N/A</v>
      </c>
      <c r="N102" s="8"/>
    </row>
    <row r="103" spans="1:14" x14ac:dyDescent="0.3">
      <c r="A103" s="12">
        <v>31310</v>
      </c>
      <c r="B103" s="6">
        <v>0</v>
      </c>
      <c r="C103" s="7"/>
      <c r="D103" s="6">
        <v>7835</v>
      </c>
      <c r="E103" s="7">
        <v>2</v>
      </c>
      <c r="F103" s="7" t="str">
        <f t="shared" si="4"/>
        <v>Y</v>
      </c>
      <c r="G103" s="6">
        <f t="shared" si="5"/>
        <v>391.75</v>
      </c>
      <c r="H103" s="6">
        <f t="shared" si="6"/>
        <v>0</v>
      </c>
      <c r="I103" s="7">
        <v>9</v>
      </c>
      <c r="J103" s="7"/>
      <c r="K103" s="6">
        <f t="shared" si="7"/>
        <v>0</v>
      </c>
      <c r="L103" s="6">
        <f>'Invoice Data'!$B103+'Invoice Data'!$D103-'Invoice Data'!$G103-'Invoice Data'!$K103+'Invoice Data'!$H103</f>
        <v>7443.25</v>
      </c>
      <c r="M103" s="6" t="e">
        <f>VLOOKUP('Invoice Data'!$A103,BPay!$B$4:$D$10,3,0)</f>
        <v>#N/A</v>
      </c>
      <c r="N103" s="8"/>
    </row>
    <row r="104" spans="1:14" x14ac:dyDescent="0.3">
      <c r="A104" s="12">
        <v>31329</v>
      </c>
      <c r="B104" s="6">
        <v>0</v>
      </c>
      <c r="C104" s="7"/>
      <c r="D104" s="6">
        <v>3618</v>
      </c>
      <c r="E104" s="7">
        <v>1</v>
      </c>
      <c r="F104" s="7" t="str">
        <f t="shared" si="4"/>
        <v/>
      </c>
      <c r="G104" s="6">
        <f t="shared" si="5"/>
        <v>0</v>
      </c>
      <c r="H104" s="6">
        <f t="shared" si="6"/>
        <v>0</v>
      </c>
      <c r="I104" s="7">
        <v>16</v>
      </c>
      <c r="J104" s="7"/>
      <c r="K104" s="6">
        <f t="shared" si="7"/>
        <v>250</v>
      </c>
      <c r="L104" s="6">
        <f>'Invoice Data'!$B104+'Invoice Data'!$D104-'Invoice Data'!$G104-'Invoice Data'!$K104+'Invoice Data'!$H104</f>
        <v>3368</v>
      </c>
      <c r="M104" s="6" t="e">
        <f>VLOOKUP('Invoice Data'!$A104,BPay!$B$4:$D$10,3,0)</f>
        <v>#N/A</v>
      </c>
      <c r="N104" s="8"/>
    </row>
    <row r="105" spans="1:14" x14ac:dyDescent="0.3">
      <c r="A105" s="12">
        <v>31338</v>
      </c>
      <c r="B105" s="6">
        <v>0</v>
      </c>
      <c r="C105" s="7"/>
      <c r="D105" s="6">
        <v>3851</v>
      </c>
      <c r="E105" s="7">
        <v>1</v>
      </c>
      <c r="F105" s="7" t="str">
        <f t="shared" si="4"/>
        <v/>
      </c>
      <c r="G105" s="6">
        <f t="shared" si="5"/>
        <v>0</v>
      </c>
      <c r="H105" s="6">
        <f t="shared" si="6"/>
        <v>0</v>
      </c>
      <c r="I105" s="7">
        <v>6</v>
      </c>
      <c r="J105" s="7"/>
      <c r="K105" s="6">
        <f t="shared" si="7"/>
        <v>0</v>
      </c>
      <c r="L105" s="6">
        <f>'Invoice Data'!$B105+'Invoice Data'!$D105-'Invoice Data'!$G105-'Invoice Data'!$K105+'Invoice Data'!$H105</f>
        <v>3851</v>
      </c>
      <c r="M105" s="6" t="e">
        <f>VLOOKUP('Invoice Data'!$A105,BPay!$B$4:$D$10,3,0)</f>
        <v>#N/A</v>
      </c>
      <c r="N105" s="8"/>
    </row>
    <row r="106" spans="1:14" x14ac:dyDescent="0.3">
      <c r="A106" s="12">
        <v>31347</v>
      </c>
      <c r="B106" s="6">
        <v>0</v>
      </c>
      <c r="C106" s="7"/>
      <c r="D106" s="6">
        <v>4693</v>
      </c>
      <c r="E106" s="7">
        <v>1</v>
      </c>
      <c r="F106" s="7" t="str">
        <f t="shared" si="4"/>
        <v/>
      </c>
      <c r="G106" s="6">
        <f t="shared" si="5"/>
        <v>0</v>
      </c>
      <c r="H106" s="6">
        <f t="shared" si="6"/>
        <v>0</v>
      </c>
      <c r="I106" s="7">
        <v>13</v>
      </c>
      <c r="J106" s="7"/>
      <c r="K106" s="6">
        <f t="shared" si="7"/>
        <v>0</v>
      </c>
      <c r="L106" s="6">
        <f>'Invoice Data'!$B106+'Invoice Data'!$D106-'Invoice Data'!$G106-'Invoice Data'!$K106+'Invoice Data'!$H106</f>
        <v>4693</v>
      </c>
      <c r="M106" s="6" t="e">
        <f>VLOOKUP('Invoice Data'!$A106,BPay!$B$4:$D$10,3,0)</f>
        <v>#N/A</v>
      </c>
      <c r="N106" s="8"/>
    </row>
    <row r="107" spans="1:14" x14ac:dyDescent="0.3">
      <c r="A107" s="12">
        <v>31356</v>
      </c>
      <c r="B107" s="6">
        <v>0</v>
      </c>
      <c r="C107" s="7"/>
      <c r="D107" s="6">
        <v>9361</v>
      </c>
      <c r="E107" s="7">
        <v>2</v>
      </c>
      <c r="F107" s="7" t="str">
        <f t="shared" si="4"/>
        <v>Y</v>
      </c>
      <c r="G107" s="6">
        <f t="shared" si="5"/>
        <v>468.05</v>
      </c>
      <c r="H107" s="6">
        <f t="shared" si="6"/>
        <v>0</v>
      </c>
      <c r="I107" s="7">
        <v>3</v>
      </c>
      <c r="J107" s="7"/>
      <c r="K107" s="6">
        <f t="shared" si="7"/>
        <v>0</v>
      </c>
      <c r="L107" s="6">
        <f>'Invoice Data'!$B107+'Invoice Data'!$D107-'Invoice Data'!$G107-'Invoice Data'!$K107+'Invoice Data'!$H107</f>
        <v>8892.9500000000007</v>
      </c>
      <c r="M107" s="6" t="e">
        <f>VLOOKUP('Invoice Data'!$A107,BPay!$B$4:$D$10,3,0)</f>
        <v>#N/A</v>
      </c>
      <c r="N107" s="8"/>
    </row>
    <row r="108" spans="1:14" x14ac:dyDescent="0.3">
      <c r="A108" s="12">
        <v>31365</v>
      </c>
      <c r="B108" s="6">
        <v>0</v>
      </c>
      <c r="C108" s="7"/>
      <c r="D108" s="6">
        <v>8057</v>
      </c>
      <c r="E108" s="7">
        <v>2</v>
      </c>
      <c r="F108" s="7" t="str">
        <f t="shared" si="4"/>
        <v>Y</v>
      </c>
      <c r="G108" s="6">
        <f t="shared" si="5"/>
        <v>402.85</v>
      </c>
      <c r="H108" s="6">
        <f t="shared" si="6"/>
        <v>0</v>
      </c>
      <c r="I108" s="7">
        <v>5</v>
      </c>
      <c r="J108" s="7"/>
      <c r="K108" s="6">
        <f t="shared" si="7"/>
        <v>0</v>
      </c>
      <c r="L108" s="6">
        <f>'Invoice Data'!$B108+'Invoice Data'!$D108-'Invoice Data'!$G108-'Invoice Data'!$K108+'Invoice Data'!$H108</f>
        <v>7654.15</v>
      </c>
      <c r="M108" s="6" t="e">
        <f>VLOOKUP('Invoice Data'!$A108,BPay!$B$4:$D$10,3,0)</f>
        <v>#N/A</v>
      </c>
      <c r="N108" s="8"/>
    </row>
    <row r="109" spans="1:14" x14ac:dyDescent="0.3">
      <c r="A109" s="12">
        <v>31374</v>
      </c>
      <c r="B109" s="6">
        <v>0</v>
      </c>
      <c r="C109" s="7"/>
      <c r="D109" s="6">
        <v>7164</v>
      </c>
      <c r="E109" s="7">
        <v>2</v>
      </c>
      <c r="F109" s="7" t="str">
        <f t="shared" si="4"/>
        <v>Y</v>
      </c>
      <c r="G109" s="6">
        <f t="shared" si="5"/>
        <v>358.20000000000005</v>
      </c>
      <c r="H109" s="6">
        <f t="shared" si="6"/>
        <v>0</v>
      </c>
      <c r="I109" s="7">
        <v>7</v>
      </c>
      <c r="J109" s="7"/>
      <c r="K109" s="6">
        <f t="shared" si="7"/>
        <v>0</v>
      </c>
      <c r="L109" s="6">
        <f>'Invoice Data'!$B109+'Invoice Data'!$D109-'Invoice Data'!$G109-'Invoice Data'!$K109+'Invoice Data'!$H109</f>
        <v>6805.8</v>
      </c>
      <c r="M109" s="6" t="e">
        <f>VLOOKUP('Invoice Data'!$A109,BPay!$B$4:$D$10,3,0)</f>
        <v>#N/A</v>
      </c>
      <c r="N109" s="8"/>
    </row>
    <row r="110" spans="1:14" x14ac:dyDescent="0.3">
      <c r="A110" s="12">
        <v>31383</v>
      </c>
      <c r="B110" s="6">
        <v>0</v>
      </c>
      <c r="C110" s="7"/>
      <c r="D110" s="6">
        <v>10253</v>
      </c>
      <c r="E110" s="7">
        <v>2</v>
      </c>
      <c r="F110" s="7" t="str">
        <f t="shared" si="4"/>
        <v>Y</v>
      </c>
      <c r="G110" s="6">
        <f t="shared" si="5"/>
        <v>512.65</v>
      </c>
      <c r="H110" s="6">
        <f t="shared" si="6"/>
        <v>0</v>
      </c>
      <c r="I110" s="7">
        <v>6</v>
      </c>
      <c r="J110" s="7"/>
      <c r="K110" s="6">
        <f t="shared" si="7"/>
        <v>0</v>
      </c>
      <c r="L110" s="6">
        <f>'Invoice Data'!$B110+'Invoice Data'!$D110-'Invoice Data'!$G110-'Invoice Data'!$K110+'Invoice Data'!$H110</f>
        <v>9740.35</v>
      </c>
      <c r="M110" s="6" t="e">
        <f>VLOOKUP('Invoice Data'!$A110,BPay!$B$4:$D$10,3,0)</f>
        <v>#N/A</v>
      </c>
      <c r="N110" s="8"/>
    </row>
    <row r="111" spans="1:14" x14ac:dyDescent="0.3">
      <c r="A111" s="12">
        <v>31392</v>
      </c>
      <c r="B111" s="6">
        <v>0</v>
      </c>
      <c r="C111" s="7"/>
      <c r="D111" s="6">
        <v>3767</v>
      </c>
      <c r="E111" s="7">
        <v>1</v>
      </c>
      <c r="F111" s="7" t="str">
        <f t="shared" si="4"/>
        <v/>
      </c>
      <c r="G111" s="6">
        <f t="shared" si="5"/>
        <v>0</v>
      </c>
      <c r="H111" s="6">
        <f t="shared" si="6"/>
        <v>0</v>
      </c>
      <c r="I111" s="7">
        <v>0</v>
      </c>
      <c r="J111" s="7" t="b">
        <v>1</v>
      </c>
      <c r="K111" s="6">
        <f t="shared" si="7"/>
        <v>250</v>
      </c>
      <c r="L111" s="6">
        <f>'Invoice Data'!$B111+'Invoice Data'!$D111-'Invoice Data'!$G111-'Invoice Data'!$K111+'Invoice Data'!$H111</f>
        <v>3517</v>
      </c>
      <c r="M111" s="6" t="e">
        <f>VLOOKUP('Invoice Data'!$A111,BPay!$B$4:$D$10,3,0)</f>
        <v>#N/A</v>
      </c>
      <c r="N111" s="8"/>
    </row>
    <row r="112" spans="1:14" x14ac:dyDescent="0.3">
      <c r="A112" s="12">
        <v>31409</v>
      </c>
      <c r="B112" s="6">
        <v>0</v>
      </c>
      <c r="C112" s="7"/>
      <c r="D112" s="6">
        <v>11564</v>
      </c>
      <c r="E112" s="7">
        <v>3</v>
      </c>
      <c r="F112" s="7" t="str">
        <f t="shared" si="4"/>
        <v>Y</v>
      </c>
      <c r="G112" s="6">
        <f t="shared" si="5"/>
        <v>578.20000000000005</v>
      </c>
      <c r="H112" s="6">
        <f t="shared" si="6"/>
        <v>0</v>
      </c>
      <c r="I112" s="7">
        <v>1</v>
      </c>
      <c r="J112" s="7"/>
      <c r="K112" s="6">
        <f t="shared" si="7"/>
        <v>0</v>
      </c>
      <c r="L112" s="6">
        <f>'Invoice Data'!$B112+'Invoice Data'!$D112-'Invoice Data'!$G112-'Invoice Data'!$K112+'Invoice Data'!$H112</f>
        <v>10985.8</v>
      </c>
      <c r="M112" s="6" t="e">
        <f>VLOOKUP('Invoice Data'!$A112,BPay!$B$4:$D$10,3,0)</f>
        <v>#N/A</v>
      </c>
      <c r="N112" s="8"/>
    </row>
    <row r="113" spans="1:14" x14ac:dyDescent="0.3">
      <c r="A113" s="12">
        <v>31418</v>
      </c>
      <c r="B113" s="6">
        <v>0</v>
      </c>
      <c r="C113" s="7"/>
      <c r="D113" s="6">
        <v>3728</v>
      </c>
      <c r="E113" s="7">
        <v>1</v>
      </c>
      <c r="F113" s="7" t="str">
        <f t="shared" si="4"/>
        <v/>
      </c>
      <c r="G113" s="6">
        <f t="shared" si="5"/>
        <v>0</v>
      </c>
      <c r="H113" s="6">
        <f t="shared" si="6"/>
        <v>0</v>
      </c>
      <c r="I113" s="7">
        <v>11</v>
      </c>
      <c r="J113" s="7"/>
      <c r="K113" s="6">
        <f t="shared" si="7"/>
        <v>0</v>
      </c>
      <c r="L113" s="6">
        <f>'Invoice Data'!$B113+'Invoice Data'!$D113-'Invoice Data'!$G113-'Invoice Data'!$K113+'Invoice Data'!$H113</f>
        <v>3728</v>
      </c>
      <c r="M113" s="6" t="e">
        <f>VLOOKUP('Invoice Data'!$A113,BPay!$B$4:$D$10,3,0)</f>
        <v>#N/A</v>
      </c>
      <c r="N113" s="8"/>
    </row>
    <row r="114" spans="1:14" x14ac:dyDescent="0.3">
      <c r="A114" s="12">
        <v>31427</v>
      </c>
      <c r="B114" s="6">
        <v>0</v>
      </c>
      <c r="C114" s="7"/>
      <c r="D114" s="6">
        <v>4291</v>
      </c>
      <c r="E114" s="7">
        <v>1</v>
      </c>
      <c r="F114" s="7" t="str">
        <f t="shared" si="4"/>
        <v/>
      </c>
      <c r="G114" s="6">
        <f t="shared" si="5"/>
        <v>0</v>
      </c>
      <c r="H114" s="6">
        <f t="shared" si="6"/>
        <v>0</v>
      </c>
      <c r="I114" s="7">
        <v>15</v>
      </c>
      <c r="J114" s="7"/>
      <c r="K114" s="6">
        <f t="shared" si="7"/>
        <v>0</v>
      </c>
      <c r="L114" s="6">
        <f>'Invoice Data'!$B114+'Invoice Data'!$D114-'Invoice Data'!$G114-'Invoice Data'!$K114+'Invoice Data'!$H114</f>
        <v>4291</v>
      </c>
      <c r="M114" s="6" t="e">
        <f>VLOOKUP('Invoice Data'!$A114,BPay!$B$4:$D$10,3,0)</f>
        <v>#N/A</v>
      </c>
      <c r="N114" s="8"/>
    </row>
    <row r="115" spans="1:14" x14ac:dyDescent="0.3">
      <c r="A115" s="12">
        <v>31436</v>
      </c>
      <c r="B115" s="6">
        <v>0</v>
      </c>
      <c r="C115" s="7"/>
      <c r="D115" s="6">
        <v>5511</v>
      </c>
      <c r="E115" s="7">
        <v>1</v>
      </c>
      <c r="F115" s="7" t="str">
        <f t="shared" si="4"/>
        <v/>
      </c>
      <c r="G115" s="6">
        <f t="shared" si="5"/>
        <v>0</v>
      </c>
      <c r="H115" s="6">
        <f t="shared" si="6"/>
        <v>0</v>
      </c>
      <c r="I115" s="7">
        <v>15</v>
      </c>
      <c r="J115" s="7"/>
      <c r="K115" s="6">
        <f t="shared" si="7"/>
        <v>0</v>
      </c>
      <c r="L115" s="6">
        <f>'Invoice Data'!$B115+'Invoice Data'!$D115-'Invoice Data'!$G115-'Invoice Data'!$K115+'Invoice Data'!$H115</f>
        <v>5511</v>
      </c>
      <c r="M115" s="6" t="e">
        <f>VLOOKUP('Invoice Data'!$A115,BPay!$B$4:$D$10,3,0)</f>
        <v>#N/A</v>
      </c>
      <c r="N115" s="8"/>
    </row>
    <row r="116" spans="1:14" x14ac:dyDescent="0.3">
      <c r="A116" s="12">
        <v>31445</v>
      </c>
      <c r="B116" s="6">
        <v>0</v>
      </c>
      <c r="C116" s="7"/>
      <c r="D116" s="6">
        <v>10389</v>
      </c>
      <c r="E116" s="7">
        <v>2</v>
      </c>
      <c r="F116" s="7" t="str">
        <f t="shared" si="4"/>
        <v>Y</v>
      </c>
      <c r="G116" s="6">
        <f t="shared" si="5"/>
        <v>519.45000000000005</v>
      </c>
      <c r="H116" s="6">
        <f t="shared" si="6"/>
        <v>0</v>
      </c>
      <c r="I116" s="7">
        <v>9</v>
      </c>
      <c r="J116" s="7"/>
      <c r="K116" s="6">
        <f t="shared" si="7"/>
        <v>0</v>
      </c>
      <c r="L116" s="6">
        <f>'Invoice Data'!$B116+'Invoice Data'!$D116-'Invoice Data'!$G116-'Invoice Data'!$K116+'Invoice Data'!$H116</f>
        <v>9869.5499999999993</v>
      </c>
      <c r="M116" s="6" t="e">
        <f>VLOOKUP('Invoice Data'!$A116,BPay!$B$4:$D$10,3,0)</f>
        <v>#N/A</v>
      </c>
      <c r="N116" s="8"/>
    </row>
    <row r="117" spans="1:14" x14ac:dyDescent="0.3">
      <c r="A117" s="12">
        <v>31454</v>
      </c>
      <c r="B117" s="6">
        <v>0</v>
      </c>
      <c r="C117" s="7"/>
      <c r="D117" s="6">
        <v>9755</v>
      </c>
      <c r="E117" s="7">
        <v>2</v>
      </c>
      <c r="F117" s="7" t="str">
        <f t="shared" si="4"/>
        <v>Y</v>
      </c>
      <c r="G117" s="6">
        <f t="shared" si="5"/>
        <v>487.75</v>
      </c>
      <c r="H117" s="6">
        <f t="shared" si="6"/>
        <v>0</v>
      </c>
      <c r="I117" s="7">
        <v>12</v>
      </c>
      <c r="J117" s="7"/>
      <c r="K117" s="6">
        <f t="shared" si="7"/>
        <v>0</v>
      </c>
      <c r="L117" s="6">
        <f>'Invoice Data'!$B117+'Invoice Data'!$D117-'Invoice Data'!$G117-'Invoice Data'!$K117+'Invoice Data'!$H117</f>
        <v>9267.25</v>
      </c>
      <c r="M117" s="6" t="e">
        <f>VLOOKUP('Invoice Data'!$A117,BPay!$B$4:$D$10,3,0)</f>
        <v>#N/A</v>
      </c>
      <c r="N117" s="8"/>
    </row>
    <row r="118" spans="1:14" x14ac:dyDescent="0.3">
      <c r="A118" s="12">
        <v>31463</v>
      </c>
      <c r="B118" s="6">
        <v>0</v>
      </c>
      <c r="C118" s="7"/>
      <c r="D118" s="6">
        <v>4427</v>
      </c>
      <c r="E118" s="7">
        <v>1</v>
      </c>
      <c r="F118" s="7" t="str">
        <f t="shared" si="4"/>
        <v/>
      </c>
      <c r="G118" s="6">
        <f t="shared" si="5"/>
        <v>0</v>
      </c>
      <c r="H118" s="6">
        <f t="shared" si="6"/>
        <v>0</v>
      </c>
      <c r="I118" s="7">
        <v>11</v>
      </c>
      <c r="J118" s="7"/>
      <c r="K118" s="6">
        <f t="shared" si="7"/>
        <v>0</v>
      </c>
      <c r="L118" s="6">
        <f>'Invoice Data'!$B118+'Invoice Data'!$D118-'Invoice Data'!$G118-'Invoice Data'!$K118+'Invoice Data'!$H118</f>
        <v>4427</v>
      </c>
      <c r="M118" s="6" t="e">
        <f>VLOOKUP('Invoice Data'!$A118,BPay!$B$4:$D$10,3,0)</f>
        <v>#N/A</v>
      </c>
      <c r="N118" s="8"/>
    </row>
    <row r="119" spans="1:14" x14ac:dyDescent="0.3">
      <c r="A119" s="12">
        <v>31472</v>
      </c>
      <c r="B119" s="6">
        <v>0</v>
      </c>
      <c r="C119" s="7"/>
      <c r="D119" s="6">
        <v>8393</v>
      </c>
      <c r="E119" s="7">
        <v>2</v>
      </c>
      <c r="F119" s="7" t="str">
        <f t="shared" si="4"/>
        <v>Y</v>
      </c>
      <c r="G119" s="6">
        <f t="shared" si="5"/>
        <v>419.65000000000003</v>
      </c>
      <c r="H119" s="6">
        <f t="shared" si="6"/>
        <v>0</v>
      </c>
      <c r="I119" s="7">
        <v>9</v>
      </c>
      <c r="J119" s="7"/>
      <c r="K119" s="6">
        <f t="shared" si="7"/>
        <v>0</v>
      </c>
      <c r="L119" s="6">
        <f>'Invoice Data'!$B119+'Invoice Data'!$D119-'Invoice Data'!$G119-'Invoice Data'!$K119+'Invoice Data'!$H119</f>
        <v>7973.35</v>
      </c>
      <c r="M119" s="6" t="e">
        <f>VLOOKUP('Invoice Data'!$A119,BPay!$B$4:$D$10,3,0)</f>
        <v>#N/A</v>
      </c>
      <c r="N119" s="8"/>
    </row>
    <row r="120" spans="1:14" x14ac:dyDescent="0.3">
      <c r="A120" s="12">
        <v>31481</v>
      </c>
      <c r="B120" s="6">
        <v>0</v>
      </c>
      <c r="C120" s="7"/>
      <c r="D120" s="6">
        <v>10558</v>
      </c>
      <c r="E120" s="7">
        <v>2</v>
      </c>
      <c r="F120" s="7" t="str">
        <f t="shared" si="4"/>
        <v>Y</v>
      </c>
      <c r="G120" s="6">
        <f t="shared" si="5"/>
        <v>527.9</v>
      </c>
      <c r="H120" s="6">
        <f t="shared" si="6"/>
        <v>0</v>
      </c>
      <c r="I120" s="7">
        <v>5</v>
      </c>
      <c r="J120" s="7"/>
      <c r="K120" s="6">
        <f t="shared" si="7"/>
        <v>0</v>
      </c>
      <c r="L120" s="6">
        <f>'Invoice Data'!$B120+'Invoice Data'!$D120-'Invoice Data'!$G120-'Invoice Data'!$K120+'Invoice Data'!$H120</f>
        <v>10030.1</v>
      </c>
      <c r="M120" s="6" t="e">
        <f>VLOOKUP('Invoice Data'!$A120,BPay!$B$4:$D$10,3,0)</f>
        <v>#N/A</v>
      </c>
      <c r="N120" s="8"/>
    </row>
    <row r="121" spans="1:14" x14ac:dyDescent="0.3">
      <c r="A121" s="12">
        <v>31490</v>
      </c>
      <c r="B121" s="6">
        <v>0</v>
      </c>
      <c r="C121" s="7"/>
      <c r="D121" s="6">
        <v>3859</v>
      </c>
      <c r="E121" s="7">
        <v>1</v>
      </c>
      <c r="F121" s="7" t="str">
        <f t="shared" si="4"/>
        <v/>
      </c>
      <c r="G121" s="6">
        <f t="shared" si="5"/>
        <v>0</v>
      </c>
      <c r="H121" s="6">
        <f t="shared" si="6"/>
        <v>0</v>
      </c>
      <c r="I121" s="7">
        <v>15</v>
      </c>
      <c r="J121" s="7"/>
      <c r="K121" s="6">
        <f t="shared" si="7"/>
        <v>0</v>
      </c>
      <c r="L121" s="6">
        <f>'Invoice Data'!$B121+'Invoice Data'!$D121-'Invoice Data'!$G121-'Invoice Data'!$K121+'Invoice Data'!$H121</f>
        <v>3859</v>
      </c>
      <c r="M121" s="6" t="e">
        <f>VLOOKUP('Invoice Data'!$A121,BPay!$B$4:$D$10,3,0)</f>
        <v>#N/A</v>
      </c>
      <c r="N121" s="8"/>
    </row>
    <row r="122" spans="1:14" x14ac:dyDescent="0.3">
      <c r="A122" s="12">
        <v>31506</v>
      </c>
      <c r="B122" s="6">
        <v>0</v>
      </c>
      <c r="C122" s="7"/>
      <c r="D122" s="6">
        <v>6393</v>
      </c>
      <c r="E122" s="7">
        <v>2</v>
      </c>
      <c r="F122" s="7" t="str">
        <f t="shared" si="4"/>
        <v>Y</v>
      </c>
      <c r="G122" s="6">
        <f t="shared" si="5"/>
        <v>319.65000000000003</v>
      </c>
      <c r="H122" s="6">
        <f t="shared" si="6"/>
        <v>0</v>
      </c>
      <c r="I122" s="7">
        <v>0</v>
      </c>
      <c r="J122" s="7"/>
      <c r="K122" s="6">
        <f t="shared" si="7"/>
        <v>0</v>
      </c>
      <c r="L122" s="6">
        <f>'Invoice Data'!$B122+'Invoice Data'!$D122-'Invoice Data'!$G122-'Invoice Data'!$K122+'Invoice Data'!$H122</f>
        <v>6073.35</v>
      </c>
      <c r="M122" s="6" t="e">
        <f>VLOOKUP('Invoice Data'!$A122,BPay!$B$4:$D$10,3,0)</f>
        <v>#N/A</v>
      </c>
      <c r="N122" s="8"/>
    </row>
    <row r="123" spans="1:14" x14ac:dyDescent="0.3">
      <c r="A123" s="12">
        <v>31515</v>
      </c>
      <c r="B123" s="6">
        <v>0</v>
      </c>
      <c r="C123" s="7"/>
      <c r="D123" s="6">
        <v>4499</v>
      </c>
      <c r="E123" s="7">
        <v>1</v>
      </c>
      <c r="F123" s="7" t="str">
        <f t="shared" si="4"/>
        <v/>
      </c>
      <c r="G123" s="6">
        <f t="shared" si="5"/>
        <v>0</v>
      </c>
      <c r="H123" s="6">
        <f t="shared" si="6"/>
        <v>0</v>
      </c>
      <c r="I123" s="7">
        <v>8</v>
      </c>
      <c r="J123" s="7"/>
      <c r="K123" s="6">
        <f t="shared" si="7"/>
        <v>0</v>
      </c>
      <c r="L123" s="6">
        <f>'Invoice Data'!$B123+'Invoice Data'!$D123-'Invoice Data'!$G123-'Invoice Data'!$K123+'Invoice Data'!$H123</f>
        <v>4499</v>
      </c>
      <c r="M123" s="6" t="e">
        <f>VLOOKUP('Invoice Data'!$A123,BPay!$B$4:$D$10,3,0)</f>
        <v>#N/A</v>
      </c>
      <c r="N123" s="8"/>
    </row>
    <row r="124" spans="1:14" x14ac:dyDescent="0.3">
      <c r="A124" s="12">
        <v>31524</v>
      </c>
      <c r="B124" s="6">
        <v>0</v>
      </c>
      <c r="C124" s="7"/>
      <c r="D124" s="6">
        <v>8730</v>
      </c>
      <c r="E124" s="7">
        <v>2</v>
      </c>
      <c r="F124" s="7" t="str">
        <f t="shared" si="4"/>
        <v>Y</v>
      </c>
      <c r="G124" s="6">
        <f t="shared" si="5"/>
        <v>436.5</v>
      </c>
      <c r="H124" s="6">
        <f t="shared" si="6"/>
        <v>0</v>
      </c>
      <c r="I124" s="7">
        <v>5</v>
      </c>
      <c r="J124" s="7"/>
      <c r="K124" s="6">
        <f t="shared" si="7"/>
        <v>0</v>
      </c>
      <c r="L124" s="6">
        <f>'Invoice Data'!$B124+'Invoice Data'!$D124-'Invoice Data'!$G124-'Invoice Data'!$K124+'Invoice Data'!$H124</f>
        <v>8293.5</v>
      </c>
      <c r="M124" s="6" t="e">
        <f>VLOOKUP('Invoice Data'!$A124,BPay!$B$4:$D$10,3,0)</f>
        <v>#N/A</v>
      </c>
      <c r="N124" s="8"/>
    </row>
    <row r="125" spans="1:14" x14ac:dyDescent="0.3">
      <c r="A125" s="12">
        <v>31533</v>
      </c>
      <c r="B125" s="6">
        <v>0</v>
      </c>
      <c r="C125" s="7"/>
      <c r="D125" s="6">
        <v>6896</v>
      </c>
      <c r="E125" s="7">
        <v>2</v>
      </c>
      <c r="F125" s="7" t="str">
        <f t="shared" si="4"/>
        <v>Y</v>
      </c>
      <c r="G125" s="6">
        <f t="shared" si="5"/>
        <v>344.8</v>
      </c>
      <c r="H125" s="6">
        <f t="shared" si="6"/>
        <v>0</v>
      </c>
      <c r="I125" s="7">
        <v>16</v>
      </c>
      <c r="J125" s="7"/>
      <c r="K125" s="6">
        <f t="shared" si="7"/>
        <v>250</v>
      </c>
      <c r="L125" s="6">
        <f>'Invoice Data'!$B125+'Invoice Data'!$D125-'Invoice Data'!$G125-'Invoice Data'!$K125+'Invoice Data'!$H125</f>
        <v>6301.2</v>
      </c>
      <c r="M125" s="6" t="e">
        <f>VLOOKUP('Invoice Data'!$A125,BPay!$B$4:$D$10,3,0)</f>
        <v>#N/A</v>
      </c>
      <c r="N125" s="8"/>
    </row>
    <row r="126" spans="1:14" x14ac:dyDescent="0.3">
      <c r="A126" s="12">
        <v>31542</v>
      </c>
      <c r="B126" s="6">
        <v>0</v>
      </c>
      <c r="C126" s="7"/>
      <c r="D126" s="6">
        <v>6852</v>
      </c>
      <c r="E126" s="7">
        <v>2</v>
      </c>
      <c r="F126" s="7" t="str">
        <f t="shared" si="4"/>
        <v>Y</v>
      </c>
      <c r="G126" s="6">
        <f t="shared" si="5"/>
        <v>342.6</v>
      </c>
      <c r="H126" s="6">
        <f t="shared" si="6"/>
        <v>0</v>
      </c>
      <c r="I126" s="7">
        <v>13</v>
      </c>
      <c r="J126" s="7"/>
      <c r="K126" s="6">
        <f t="shared" si="7"/>
        <v>0</v>
      </c>
      <c r="L126" s="6">
        <f>'Invoice Data'!$B126+'Invoice Data'!$D126-'Invoice Data'!$G126-'Invoice Data'!$K126+'Invoice Data'!$H126</f>
        <v>6509.4</v>
      </c>
      <c r="M126" s="6" t="e">
        <f>VLOOKUP('Invoice Data'!$A126,BPay!$B$4:$D$10,3,0)</f>
        <v>#N/A</v>
      </c>
      <c r="N126" s="8"/>
    </row>
    <row r="127" spans="1:14" x14ac:dyDescent="0.3">
      <c r="A127" s="12">
        <v>31551</v>
      </c>
      <c r="B127" s="6">
        <v>0</v>
      </c>
      <c r="C127" s="7"/>
      <c r="D127" s="6">
        <v>4281</v>
      </c>
      <c r="E127" s="7">
        <v>1</v>
      </c>
      <c r="F127" s="7" t="str">
        <f t="shared" si="4"/>
        <v/>
      </c>
      <c r="G127" s="6">
        <f t="shared" si="5"/>
        <v>0</v>
      </c>
      <c r="H127" s="6">
        <f t="shared" si="6"/>
        <v>0</v>
      </c>
      <c r="I127" s="7">
        <v>2</v>
      </c>
      <c r="J127" s="7"/>
      <c r="K127" s="6">
        <f t="shared" si="7"/>
        <v>0</v>
      </c>
      <c r="L127" s="6">
        <f>'Invoice Data'!$B127+'Invoice Data'!$D127-'Invoice Data'!$G127-'Invoice Data'!$K127+'Invoice Data'!$H127</f>
        <v>4281</v>
      </c>
      <c r="M127" s="6" t="e">
        <f>VLOOKUP('Invoice Data'!$A127,BPay!$B$4:$D$10,3,0)</f>
        <v>#N/A</v>
      </c>
      <c r="N127" s="8"/>
    </row>
    <row r="128" spans="1:14" x14ac:dyDescent="0.3">
      <c r="A128" s="12">
        <v>31560</v>
      </c>
      <c r="B128" s="6">
        <v>0</v>
      </c>
      <c r="C128" s="7"/>
      <c r="D128" s="6">
        <v>4114</v>
      </c>
      <c r="E128" s="7">
        <v>1</v>
      </c>
      <c r="F128" s="7" t="str">
        <f t="shared" si="4"/>
        <v/>
      </c>
      <c r="G128" s="6">
        <f t="shared" si="5"/>
        <v>0</v>
      </c>
      <c r="H128" s="6">
        <f t="shared" si="6"/>
        <v>0</v>
      </c>
      <c r="I128" s="7">
        <v>4</v>
      </c>
      <c r="J128" s="7"/>
      <c r="K128" s="6">
        <f t="shared" si="7"/>
        <v>0</v>
      </c>
      <c r="L128" s="6">
        <f>'Invoice Data'!$B128+'Invoice Data'!$D128-'Invoice Data'!$G128-'Invoice Data'!$K128+'Invoice Data'!$H128</f>
        <v>4114</v>
      </c>
      <c r="M128" s="6" t="e">
        <f>VLOOKUP('Invoice Data'!$A128,BPay!$B$4:$D$10,3,0)</f>
        <v>#N/A</v>
      </c>
      <c r="N128" s="8"/>
    </row>
    <row r="129" spans="1:14" x14ac:dyDescent="0.3">
      <c r="A129" s="12">
        <v>31579</v>
      </c>
      <c r="B129" s="6">
        <v>0</v>
      </c>
      <c r="C129" s="7"/>
      <c r="D129" s="6">
        <v>4369</v>
      </c>
      <c r="E129" s="7">
        <v>1</v>
      </c>
      <c r="F129" s="7" t="str">
        <f t="shared" si="4"/>
        <v/>
      </c>
      <c r="G129" s="6">
        <f t="shared" si="5"/>
        <v>0</v>
      </c>
      <c r="H129" s="6">
        <f t="shared" si="6"/>
        <v>0</v>
      </c>
      <c r="I129" s="7">
        <v>3</v>
      </c>
      <c r="J129" s="7"/>
      <c r="K129" s="6">
        <f t="shared" si="7"/>
        <v>0</v>
      </c>
      <c r="L129" s="6">
        <f>'Invoice Data'!$B129+'Invoice Data'!$D129-'Invoice Data'!$G129-'Invoice Data'!$K129+'Invoice Data'!$H129</f>
        <v>4369</v>
      </c>
      <c r="M129" s="6" t="e">
        <f>VLOOKUP('Invoice Data'!$A129,BPay!$B$4:$D$10,3,0)</f>
        <v>#N/A</v>
      </c>
      <c r="N129" s="8"/>
    </row>
    <row r="130" spans="1:14" x14ac:dyDescent="0.3">
      <c r="A130" s="12">
        <v>31588</v>
      </c>
      <c r="B130" s="6">
        <v>0</v>
      </c>
      <c r="C130" s="7"/>
      <c r="D130" s="6">
        <v>4241</v>
      </c>
      <c r="E130" s="7">
        <v>1</v>
      </c>
      <c r="F130" s="7" t="str">
        <f t="shared" si="4"/>
        <v/>
      </c>
      <c r="G130" s="6">
        <f t="shared" si="5"/>
        <v>0</v>
      </c>
      <c r="H130" s="6">
        <f t="shared" si="6"/>
        <v>0</v>
      </c>
      <c r="I130" s="7">
        <v>12</v>
      </c>
      <c r="J130" s="7"/>
      <c r="K130" s="6">
        <f t="shared" si="7"/>
        <v>0</v>
      </c>
      <c r="L130" s="6">
        <f>'Invoice Data'!$B130+'Invoice Data'!$D130-'Invoice Data'!$G130-'Invoice Data'!$K130+'Invoice Data'!$H130</f>
        <v>4241</v>
      </c>
      <c r="M130" s="6" t="e">
        <f>VLOOKUP('Invoice Data'!$A130,BPay!$B$4:$D$10,3,0)</f>
        <v>#N/A</v>
      </c>
      <c r="N130" s="8"/>
    </row>
    <row r="131" spans="1:14" x14ac:dyDescent="0.3">
      <c r="A131" s="12">
        <v>31597</v>
      </c>
      <c r="B131" s="6">
        <v>0</v>
      </c>
      <c r="C131" s="7"/>
      <c r="D131" s="6">
        <v>8326</v>
      </c>
      <c r="E131" s="7">
        <v>2</v>
      </c>
      <c r="F131" s="7" t="str">
        <f t="shared" si="4"/>
        <v>Y</v>
      </c>
      <c r="G131" s="6">
        <f t="shared" si="5"/>
        <v>416.3</v>
      </c>
      <c r="H131" s="6">
        <f t="shared" si="6"/>
        <v>0</v>
      </c>
      <c r="I131" s="7">
        <v>0</v>
      </c>
      <c r="J131" s="7"/>
      <c r="K131" s="6">
        <f t="shared" si="7"/>
        <v>0</v>
      </c>
      <c r="L131" s="6">
        <f>'Invoice Data'!$B131+'Invoice Data'!$D131-'Invoice Data'!$G131-'Invoice Data'!$K131+'Invoice Data'!$H131</f>
        <v>7909.7</v>
      </c>
      <c r="M131" s="6" t="e">
        <f>VLOOKUP('Invoice Data'!$A131,BPay!$B$4:$D$10,3,0)</f>
        <v>#N/A</v>
      </c>
      <c r="N131" s="8"/>
    </row>
    <row r="132" spans="1:14" x14ac:dyDescent="0.3">
      <c r="A132" s="12">
        <v>31604</v>
      </c>
      <c r="B132" s="6">
        <v>0</v>
      </c>
      <c r="C132" s="7"/>
      <c r="D132" s="6">
        <v>5313</v>
      </c>
      <c r="E132" s="7">
        <v>1</v>
      </c>
      <c r="F132" s="7" t="str">
        <f t="shared" si="4"/>
        <v/>
      </c>
      <c r="G132" s="6">
        <f t="shared" si="5"/>
        <v>0</v>
      </c>
      <c r="H132" s="6">
        <f t="shared" si="6"/>
        <v>0</v>
      </c>
      <c r="I132" s="7">
        <v>13</v>
      </c>
      <c r="J132" s="7"/>
      <c r="K132" s="6">
        <f t="shared" si="7"/>
        <v>0</v>
      </c>
      <c r="L132" s="6">
        <f>'Invoice Data'!$B132+'Invoice Data'!$D132-'Invoice Data'!$G132-'Invoice Data'!$K132+'Invoice Data'!$H132</f>
        <v>5313</v>
      </c>
      <c r="M132" s="6" t="e">
        <f>VLOOKUP('Invoice Data'!$A132,BPay!$B$4:$D$10,3,0)</f>
        <v>#N/A</v>
      </c>
      <c r="N132" s="8"/>
    </row>
    <row r="133" spans="1:14" x14ac:dyDescent="0.3">
      <c r="A133" s="12">
        <v>31613</v>
      </c>
      <c r="B133" s="6">
        <v>0</v>
      </c>
      <c r="C133" s="7"/>
      <c r="D133" s="6">
        <v>4494</v>
      </c>
      <c r="E133" s="7">
        <v>1</v>
      </c>
      <c r="F133" s="7" t="str">
        <f t="shared" si="4"/>
        <v/>
      </c>
      <c r="G133" s="6">
        <f t="shared" si="5"/>
        <v>0</v>
      </c>
      <c r="H133" s="6">
        <f t="shared" si="6"/>
        <v>0</v>
      </c>
      <c r="I133" s="7">
        <v>16</v>
      </c>
      <c r="J133" s="7"/>
      <c r="K133" s="6">
        <f t="shared" si="7"/>
        <v>250</v>
      </c>
      <c r="L133" s="6">
        <f>'Invoice Data'!$B133+'Invoice Data'!$D133-'Invoice Data'!$G133-'Invoice Data'!$K133+'Invoice Data'!$H133</f>
        <v>4244</v>
      </c>
      <c r="M133" s="6" t="e">
        <f>VLOOKUP('Invoice Data'!$A133,BPay!$B$4:$D$10,3,0)</f>
        <v>#N/A</v>
      </c>
      <c r="N133" s="8"/>
    </row>
    <row r="134" spans="1:14" x14ac:dyDescent="0.3">
      <c r="A134" s="12">
        <v>31622</v>
      </c>
      <c r="B134" s="6">
        <v>0</v>
      </c>
      <c r="C134" s="7"/>
      <c r="D134" s="6">
        <v>4896</v>
      </c>
      <c r="E134" s="7">
        <v>1</v>
      </c>
      <c r="F134" s="7" t="str">
        <f t="shared" si="4"/>
        <v/>
      </c>
      <c r="G134" s="6">
        <f t="shared" si="5"/>
        <v>0</v>
      </c>
      <c r="H134" s="6">
        <f t="shared" si="6"/>
        <v>0</v>
      </c>
      <c r="I134" s="7">
        <v>1</v>
      </c>
      <c r="J134" s="7"/>
      <c r="K134" s="6">
        <f t="shared" si="7"/>
        <v>0</v>
      </c>
      <c r="L134" s="6">
        <f>'Invoice Data'!$B134+'Invoice Data'!$D134-'Invoice Data'!$G134-'Invoice Data'!$K134+'Invoice Data'!$H134</f>
        <v>4896</v>
      </c>
      <c r="M134" s="6" t="e">
        <f>VLOOKUP('Invoice Data'!$A134,BPay!$B$4:$D$10,3,0)</f>
        <v>#N/A</v>
      </c>
      <c r="N134" s="8"/>
    </row>
    <row r="135" spans="1:14" x14ac:dyDescent="0.3">
      <c r="A135" s="12">
        <v>31631</v>
      </c>
      <c r="B135" s="6">
        <v>0</v>
      </c>
      <c r="C135" s="7"/>
      <c r="D135" s="6">
        <v>10118</v>
      </c>
      <c r="E135" s="7">
        <v>2</v>
      </c>
      <c r="F135" s="7" t="str">
        <f t="shared" si="4"/>
        <v>Y</v>
      </c>
      <c r="G135" s="6">
        <f t="shared" si="5"/>
        <v>505.90000000000003</v>
      </c>
      <c r="H135" s="6">
        <f t="shared" si="6"/>
        <v>0</v>
      </c>
      <c r="I135" s="7">
        <v>0</v>
      </c>
      <c r="J135" s="7"/>
      <c r="K135" s="6">
        <f t="shared" si="7"/>
        <v>0</v>
      </c>
      <c r="L135" s="6">
        <f>'Invoice Data'!$B135+'Invoice Data'!$D135-'Invoice Data'!$G135-'Invoice Data'!$K135+'Invoice Data'!$H135</f>
        <v>9612.1</v>
      </c>
      <c r="M135" s="6" t="e">
        <f>VLOOKUP('Invoice Data'!$A135,BPay!$B$4:$D$10,3,0)</f>
        <v>#N/A</v>
      </c>
      <c r="N135" s="8"/>
    </row>
    <row r="136" spans="1:14" x14ac:dyDescent="0.3">
      <c r="A136" s="12">
        <v>31640</v>
      </c>
      <c r="B136" s="6">
        <v>0</v>
      </c>
      <c r="C136" s="7"/>
      <c r="D136" s="6">
        <v>4608</v>
      </c>
      <c r="E136" s="7">
        <v>1</v>
      </c>
      <c r="F136" s="7" t="str">
        <f t="shared" si="4"/>
        <v/>
      </c>
      <c r="G136" s="6">
        <f t="shared" si="5"/>
        <v>0</v>
      </c>
      <c r="H136" s="6">
        <f t="shared" si="6"/>
        <v>0</v>
      </c>
      <c r="I136" s="7">
        <v>16</v>
      </c>
      <c r="J136" s="7"/>
      <c r="K136" s="6">
        <f t="shared" si="7"/>
        <v>250</v>
      </c>
      <c r="L136" s="6">
        <f>'Invoice Data'!$B136+'Invoice Data'!$D136-'Invoice Data'!$G136-'Invoice Data'!$K136+'Invoice Data'!$H136</f>
        <v>4358</v>
      </c>
      <c r="M136" s="6" t="e">
        <f>VLOOKUP('Invoice Data'!$A136,BPay!$B$4:$D$10,3,0)</f>
        <v>#N/A</v>
      </c>
      <c r="N136" s="8"/>
    </row>
    <row r="137" spans="1:14" x14ac:dyDescent="0.3">
      <c r="A137" s="12">
        <v>31659</v>
      </c>
      <c r="B137" s="6">
        <v>0</v>
      </c>
      <c r="C137" s="7"/>
      <c r="D137" s="6">
        <v>4603</v>
      </c>
      <c r="E137" s="7">
        <v>1</v>
      </c>
      <c r="F137" s="7" t="str">
        <f t="shared" ref="F137:F200" si="8">IF(E137&gt;=2,"Y", "")</f>
        <v/>
      </c>
      <c r="G137" s="6">
        <f t="shared" ref="G137:G200" si="9">IF(F137="y",D137*5%,0)</f>
        <v>0</v>
      </c>
      <c r="H137" s="6">
        <f t="shared" ref="H137:H200" si="10">IF(AND(B137&gt;0,C137&lt;&gt;"Y"),B137*10%,0)</f>
        <v>0</v>
      </c>
      <c r="I137" s="7">
        <v>15</v>
      </c>
      <c r="J137" s="7"/>
      <c r="K137" s="6">
        <f t="shared" ref="K137:K200" si="11">IF(OR(I137&gt;=16,J137),250,0)</f>
        <v>0</v>
      </c>
      <c r="L137" s="6">
        <f>'Invoice Data'!$B137+'Invoice Data'!$D137-'Invoice Data'!$G137-'Invoice Data'!$K137+'Invoice Data'!$H137</f>
        <v>4603</v>
      </c>
      <c r="M137" s="6" t="e">
        <f>VLOOKUP('Invoice Data'!$A137,BPay!$B$4:$D$10,3,0)</f>
        <v>#N/A</v>
      </c>
      <c r="N137" s="8"/>
    </row>
    <row r="138" spans="1:14" x14ac:dyDescent="0.3">
      <c r="A138" s="12">
        <v>31668</v>
      </c>
      <c r="B138" s="6">
        <v>0</v>
      </c>
      <c r="C138" s="7"/>
      <c r="D138" s="6">
        <v>3163</v>
      </c>
      <c r="E138" s="7">
        <v>1</v>
      </c>
      <c r="F138" s="7" t="str">
        <f t="shared" si="8"/>
        <v/>
      </c>
      <c r="G138" s="6">
        <f t="shared" si="9"/>
        <v>0</v>
      </c>
      <c r="H138" s="6">
        <f t="shared" si="10"/>
        <v>0</v>
      </c>
      <c r="I138" s="7">
        <v>8</v>
      </c>
      <c r="J138" s="7"/>
      <c r="K138" s="6">
        <f t="shared" si="11"/>
        <v>0</v>
      </c>
      <c r="L138" s="6">
        <f>'Invoice Data'!$B138+'Invoice Data'!$D138-'Invoice Data'!$G138-'Invoice Data'!$K138+'Invoice Data'!$H138</f>
        <v>3163</v>
      </c>
      <c r="M138" s="6" t="e">
        <f>VLOOKUP('Invoice Data'!$A138,BPay!$B$4:$D$10,3,0)</f>
        <v>#N/A</v>
      </c>
      <c r="N138" s="8"/>
    </row>
    <row r="139" spans="1:14" x14ac:dyDescent="0.3">
      <c r="A139" s="12">
        <v>31677</v>
      </c>
      <c r="B139" s="6">
        <v>0</v>
      </c>
      <c r="C139" s="7"/>
      <c r="D139" s="6">
        <v>5026</v>
      </c>
      <c r="E139" s="7">
        <v>1</v>
      </c>
      <c r="F139" s="7" t="str">
        <f t="shared" si="8"/>
        <v/>
      </c>
      <c r="G139" s="6">
        <f t="shared" si="9"/>
        <v>0</v>
      </c>
      <c r="H139" s="6">
        <f t="shared" si="10"/>
        <v>0</v>
      </c>
      <c r="I139" s="7">
        <v>6</v>
      </c>
      <c r="J139" s="7"/>
      <c r="K139" s="6">
        <f t="shared" si="11"/>
        <v>0</v>
      </c>
      <c r="L139" s="6">
        <f>'Invoice Data'!$B139+'Invoice Data'!$D139-'Invoice Data'!$G139-'Invoice Data'!$K139+'Invoice Data'!$H139</f>
        <v>5026</v>
      </c>
      <c r="M139" s="6" t="e">
        <f>VLOOKUP('Invoice Data'!$A139,BPay!$B$4:$D$10,3,0)</f>
        <v>#N/A</v>
      </c>
      <c r="N139" s="8"/>
    </row>
    <row r="140" spans="1:14" x14ac:dyDescent="0.3">
      <c r="A140" s="12">
        <v>31686</v>
      </c>
      <c r="B140" s="6">
        <v>0</v>
      </c>
      <c r="C140" s="7"/>
      <c r="D140" s="6">
        <v>9574</v>
      </c>
      <c r="E140" s="7">
        <v>2</v>
      </c>
      <c r="F140" s="7" t="str">
        <f t="shared" si="8"/>
        <v>Y</v>
      </c>
      <c r="G140" s="6">
        <f t="shared" si="9"/>
        <v>478.70000000000005</v>
      </c>
      <c r="H140" s="6">
        <f t="shared" si="10"/>
        <v>0</v>
      </c>
      <c r="I140" s="7">
        <v>12</v>
      </c>
      <c r="J140" s="7"/>
      <c r="K140" s="6">
        <f t="shared" si="11"/>
        <v>0</v>
      </c>
      <c r="L140" s="6">
        <f>'Invoice Data'!$B140+'Invoice Data'!$D140-'Invoice Data'!$G140-'Invoice Data'!$K140+'Invoice Data'!$H140</f>
        <v>9095.2999999999993</v>
      </c>
      <c r="M140" s="6" t="e">
        <f>VLOOKUP('Invoice Data'!$A140,BPay!$B$4:$D$10,3,0)</f>
        <v>#N/A</v>
      </c>
      <c r="N140" s="8"/>
    </row>
    <row r="141" spans="1:14" x14ac:dyDescent="0.3">
      <c r="A141" s="12">
        <v>31695</v>
      </c>
      <c r="B141" s="6">
        <v>0</v>
      </c>
      <c r="C141" s="7"/>
      <c r="D141" s="6">
        <v>8555</v>
      </c>
      <c r="E141" s="7">
        <v>2</v>
      </c>
      <c r="F141" s="7" t="str">
        <f t="shared" si="8"/>
        <v>Y</v>
      </c>
      <c r="G141" s="6">
        <f t="shared" si="9"/>
        <v>427.75</v>
      </c>
      <c r="H141" s="6">
        <f t="shared" si="10"/>
        <v>0</v>
      </c>
      <c r="I141" s="7">
        <v>14</v>
      </c>
      <c r="J141" s="7"/>
      <c r="K141" s="6">
        <f t="shared" si="11"/>
        <v>0</v>
      </c>
      <c r="L141" s="6">
        <f>'Invoice Data'!$B141+'Invoice Data'!$D141-'Invoice Data'!$G141-'Invoice Data'!$K141+'Invoice Data'!$H141</f>
        <v>8127.25</v>
      </c>
      <c r="M141" s="6" t="e">
        <f>VLOOKUP('Invoice Data'!$A141,BPay!$B$4:$D$10,3,0)</f>
        <v>#N/A</v>
      </c>
      <c r="N141" s="8"/>
    </row>
    <row r="142" spans="1:14" x14ac:dyDescent="0.3">
      <c r="A142" s="12">
        <v>31702</v>
      </c>
      <c r="B142" s="6">
        <v>0</v>
      </c>
      <c r="C142" s="7"/>
      <c r="D142" s="6">
        <v>4616</v>
      </c>
      <c r="E142" s="7">
        <v>1</v>
      </c>
      <c r="F142" s="7" t="str">
        <f t="shared" si="8"/>
        <v/>
      </c>
      <c r="G142" s="6">
        <f t="shared" si="9"/>
        <v>0</v>
      </c>
      <c r="H142" s="6">
        <f t="shared" si="10"/>
        <v>0</v>
      </c>
      <c r="I142" s="7">
        <v>14</v>
      </c>
      <c r="J142" s="7"/>
      <c r="K142" s="6">
        <f t="shared" si="11"/>
        <v>0</v>
      </c>
      <c r="L142" s="6">
        <f>'Invoice Data'!$B142+'Invoice Data'!$D142-'Invoice Data'!$G142-'Invoice Data'!$K142+'Invoice Data'!$H142</f>
        <v>4616</v>
      </c>
      <c r="M142" s="6" t="e">
        <f>VLOOKUP('Invoice Data'!$A142,BPay!$B$4:$D$10,3,0)</f>
        <v>#N/A</v>
      </c>
      <c r="N142" s="8"/>
    </row>
    <row r="143" spans="1:14" x14ac:dyDescent="0.3">
      <c r="A143" s="12">
        <v>31711</v>
      </c>
      <c r="B143" s="6">
        <v>0</v>
      </c>
      <c r="C143" s="7"/>
      <c r="D143" s="6">
        <v>3695</v>
      </c>
      <c r="E143" s="7">
        <v>1</v>
      </c>
      <c r="F143" s="7" t="str">
        <f t="shared" si="8"/>
        <v/>
      </c>
      <c r="G143" s="6">
        <f t="shared" si="9"/>
        <v>0</v>
      </c>
      <c r="H143" s="6">
        <f t="shared" si="10"/>
        <v>0</v>
      </c>
      <c r="I143" s="7">
        <v>9</v>
      </c>
      <c r="J143" s="7"/>
      <c r="K143" s="6">
        <f t="shared" si="11"/>
        <v>0</v>
      </c>
      <c r="L143" s="6">
        <f>'Invoice Data'!$B143+'Invoice Data'!$D143-'Invoice Data'!$G143-'Invoice Data'!$K143+'Invoice Data'!$H143</f>
        <v>3695</v>
      </c>
      <c r="M143" s="6" t="e">
        <f>VLOOKUP('Invoice Data'!$A143,BPay!$B$4:$D$10,3,0)</f>
        <v>#N/A</v>
      </c>
      <c r="N143" s="8"/>
    </row>
    <row r="144" spans="1:14" x14ac:dyDescent="0.3">
      <c r="A144" s="12">
        <v>31720</v>
      </c>
      <c r="B144" s="6">
        <v>0</v>
      </c>
      <c r="C144" s="7"/>
      <c r="D144" s="6">
        <v>3519</v>
      </c>
      <c r="E144" s="7">
        <v>1</v>
      </c>
      <c r="F144" s="7" t="str">
        <f t="shared" si="8"/>
        <v/>
      </c>
      <c r="G144" s="6">
        <f t="shared" si="9"/>
        <v>0</v>
      </c>
      <c r="H144" s="6">
        <f t="shared" si="10"/>
        <v>0</v>
      </c>
      <c r="I144" s="7">
        <v>15</v>
      </c>
      <c r="J144" s="7"/>
      <c r="K144" s="6">
        <f t="shared" si="11"/>
        <v>0</v>
      </c>
      <c r="L144" s="6">
        <f>'Invoice Data'!$B144+'Invoice Data'!$D144-'Invoice Data'!$G144-'Invoice Data'!$K144+'Invoice Data'!$H144</f>
        <v>3519</v>
      </c>
      <c r="M144" s="6" t="e">
        <f>VLOOKUP('Invoice Data'!$A144,BPay!$B$4:$D$10,3,0)</f>
        <v>#N/A</v>
      </c>
      <c r="N144" s="8"/>
    </row>
    <row r="145" spans="1:14" x14ac:dyDescent="0.3">
      <c r="A145" s="12">
        <v>31739</v>
      </c>
      <c r="B145" s="6">
        <v>0</v>
      </c>
      <c r="C145" s="7"/>
      <c r="D145" s="6">
        <v>3812</v>
      </c>
      <c r="E145" s="7">
        <v>1</v>
      </c>
      <c r="F145" s="7" t="str">
        <f t="shared" si="8"/>
        <v/>
      </c>
      <c r="G145" s="6">
        <f t="shared" si="9"/>
        <v>0</v>
      </c>
      <c r="H145" s="6">
        <f t="shared" si="10"/>
        <v>0</v>
      </c>
      <c r="I145" s="7">
        <v>16</v>
      </c>
      <c r="J145" s="7"/>
      <c r="K145" s="6">
        <f t="shared" si="11"/>
        <v>250</v>
      </c>
      <c r="L145" s="6">
        <f>'Invoice Data'!$B145+'Invoice Data'!$D145-'Invoice Data'!$G145-'Invoice Data'!$K145+'Invoice Data'!$H145</f>
        <v>3562</v>
      </c>
      <c r="M145" s="6" t="e">
        <f>VLOOKUP('Invoice Data'!$A145,BPay!$B$4:$D$10,3,0)</f>
        <v>#N/A</v>
      </c>
      <c r="N145" s="8"/>
    </row>
    <row r="146" spans="1:14" x14ac:dyDescent="0.3">
      <c r="A146" s="12">
        <v>31748</v>
      </c>
      <c r="B146" s="6">
        <v>0</v>
      </c>
      <c r="C146" s="7"/>
      <c r="D146" s="6">
        <v>3936</v>
      </c>
      <c r="E146" s="7">
        <v>1</v>
      </c>
      <c r="F146" s="7" t="str">
        <f t="shared" si="8"/>
        <v/>
      </c>
      <c r="G146" s="6">
        <f t="shared" si="9"/>
        <v>0</v>
      </c>
      <c r="H146" s="6">
        <f t="shared" si="10"/>
        <v>0</v>
      </c>
      <c r="I146" s="7">
        <v>1</v>
      </c>
      <c r="J146" s="7"/>
      <c r="K146" s="6">
        <f t="shared" si="11"/>
        <v>0</v>
      </c>
      <c r="L146" s="6">
        <f>'Invoice Data'!$B146+'Invoice Data'!$D146-'Invoice Data'!$G146-'Invoice Data'!$K146+'Invoice Data'!$H146</f>
        <v>3936</v>
      </c>
      <c r="M146" s="6" t="e">
        <f>VLOOKUP('Invoice Data'!$A146,BPay!$B$4:$D$10,3,0)</f>
        <v>#N/A</v>
      </c>
      <c r="N146" s="8"/>
    </row>
    <row r="147" spans="1:14" x14ac:dyDescent="0.3">
      <c r="A147" s="12">
        <v>31757</v>
      </c>
      <c r="B147" s="6">
        <v>0</v>
      </c>
      <c r="C147" s="7"/>
      <c r="D147" s="6">
        <v>4109</v>
      </c>
      <c r="E147" s="7">
        <v>1</v>
      </c>
      <c r="F147" s="7" t="str">
        <f t="shared" si="8"/>
        <v/>
      </c>
      <c r="G147" s="6">
        <f t="shared" si="9"/>
        <v>0</v>
      </c>
      <c r="H147" s="6">
        <f t="shared" si="10"/>
        <v>0</v>
      </c>
      <c r="I147" s="7">
        <v>14</v>
      </c>
      <c r="J147" s="7"/>
      <c r="K147" s="6">
        <f t="shared" si="11"/>
        <v>0</v>
      </c>
      <c r="L147" s="6">
        <f>'Invoice Data'!$B147+'Invoice Data'!$D147-'Invoice Data'!$G147-'Invoice Data'!$K147+'Invoice Data'!$H147</f>
        <v>4109</v>
      </c>
      <c r="M147" s="6" t="e">
        <f>VLOOKUP('Invoice Data'!$A147,BPay!$B$4:$D$10,3,0)</f>
        <v>#N/A</v>
      </c>
      <c r="N147" s="8"/>
    </row>
    <row r="148" spans="1:14" x14ac:dyDescent="0.3">
      <c r="A148" s="12">
        <v>31766</v>
      </c>
      <c r="B148" s="6">
        <v>0</v>
      </c>
      <c r="C148" s="7"/>
      <c r="D148" s="6">
        <v>4338</v>
      </c>
      <c r="E148" s="7">
        <v>1</v>
      </c>
      <c r="F148" s="7" t="str">
        <f t="shared" si="8"/>
        <v/>
      </c>
      <c r="G148" s="6">
        <f t="shared" si="9"/>
        <v>0</v>
      </c>
      <c r="H148" s="6">
        <f t="shared" si="10"/>
        <v>0</v>
      </c>
      <c r="I148" s="7">
        <v>13</v>
      </c>
      <c r="J148" s="7"/>
      <c r="K148" s="6">
        <f t="shared" si="11"/>
        <v>0</v>
      </c>
      <c r="L148" s="6">
        <f>'Invoice Data'!$B148+'Invoice Data'!$D148-'Invoice Data'!$G148-'Invoice Data'!$K148+'Invoice Data'!$H148</f>
        <v>4338</v>
      </c>
      <c r="M148" s="6" t="e">
        <f>VLOOKUP('Invoice Data'!$A148,BPay!$B$4:$D$10,3,0)</f>
        <v>#N/A</v>
      </c>
      <c r="N148" s="8"/>
    </row>
    <row r="149" spans="1:14" x14ac:dyDescent="0.3">
      <c r="A149" s="12">
        <v>31775</v>
      </c>
      <c r="B149" s="6">
        <v>0</v>
      </c>
      <c r="C149" s="7"/>
      <c r="D149" s="6">
        <v>9032</v>
      </c>
      <c r="E149" s="7">
        <v>2</v>
      </c>
      <c r="F149" s="7" t="str">
        <f t="shared" si="8"/>
        <v>Y</v>
      </c>
      <c r="G149" s="6">
        <f t="shared" si="9"/>
        <v>451.6</v>
      </c>
      <c r="H149" s="6">
        <f t="shared" si="10"/>
        <v>0</v>
      </c>
      <c r="I149" s="7">
        <v>12</v>
      </c>
      <c r="J149" s="7"/>
      <c r="K149" s="6">
        <f t="shared" si="11"/>
        <v>0</v>
      </c>
      <c r="L149" s="6">
        <f>'Invoice Data'!$B149+'Invoice Data'!$D149-'Invoice Data'!$G149-'Invoice Data'!$K149+'Invoice Data'!$H149</f>
        <v>8580.4</v>
      </c>
      <c r="M149" s="6" t="e">
        <f>VLOOKUP('Invoice Data'!$A149,BPay!$B$4:$D$10,3,0)</f>
        <v>#N/A</v>
      </c>
      <c r="N149" s="8"/>
    </row>
    <row r="150" spans="1:14" x14ac:dyDescent="0.3">
      <c r="A150" s="12">
        <v>31784</v>
      </c>
      <c r="B150" s="6">
        <v>0</v>
      </c>
      <c r="C150" s="7"/>
      <c r="D150" s="6">
        <v>10019</v>
      </c>
      <c r="E150" s="7">
        <v>2</v>
      </c>
      <c r="F150" s="7" t="str">
        <f t="shared" si="8"/>
        <v>Y</v>
      </c>
      <c r="G150" s="6">
        <f t="shared" si="9"/>
        <v>500.95000000000005</v>
      </c>
      <c r="H150" s="6">
        <f t="shared" si="10"/>
        <v>0</v>
      </c>
      <c r="I150" s="7">
        <v>1</v>
      </c>
      <c r="J150" s="7"/>
      <c r="K150" s="6">
        <f t="shared" si="11"/>
        <v>0</v>
      </c>
      <c r="L150" s="6">
        <f>'Invoice Data'!$B150+'Invoice Data'!$D150-'Invoice Data'!$G150-'Invoice Data'!$K150+'Invoice Data'!$H150</f>
        <v>9518.0499999999993</v>
      </c>
      <c r="M150" s="6" t="e">
        <f>VLOOKUP('Invoice Data'!$A150,BPay!$B$4:$D$10,3,0)</f>
        <v>#N/A</v>
      </c>
      <c r="N150" s="8"/>
    </row>
    <row r="151" spans="1:14" x14ac:dyDescent="0.3">
      <c r="A151" s="12">
        <v>31793</v>
      </c>
      <c r="B151" s="6">
        <v>0</v>
      </c>
      <c r="C151" s="7"/>
      <c r="D151" s="6">
        <v>5304</v>
      </c>
      <c r="E151" s="7">
        <v>1</v>
      </c>
      <c r="F151" s="7" t="str">
        <f t="shared" si="8"/>
        <v/>
      </c>
      <c r="G151" s="6">
        <f t="shared" si="9"/>
        <v>0</v>
      </c>
      <c r="H151" s="6">
        <f t="shared" si="10"/>
        <v>0</v>
      </c>
      <c r="I151" s="7">
        <v>15</v>
      </c>
      <c r="J151" s="7"/>
      <c r="K151" s="6">
        <f t="shared" si="11"/>
        <v>0</v>
      </c>
      <c r="L151" s="6">
        <f>'Invoice Data'!$B151+'Invoice Data'!$D151-'Invoice Data'!$G151-'Invoice Data'!$K151+'Invoice Data'!$H151</f>
        <v>5304</v>
      </c>
      <c r="M151" s="6" t="e">
        <f>VLOOKUP('Invoice Data'!$A151,BPay!$B$4:$D$10,3,0)</f>
        <v>#N/A</v>
      </c>
      <c r="N151" s="8"/>
    </row>
    <row r="152" spans="1:14" x14ac:dyDescent="0.3">
      <c r="A152" s="12">
        <v>31800</v>
      </c>
      <c r="B152" s="6">
        <v>0</v>
      </c>
      <c r="C152" s="7"/>
      <c r="D152" s="6">
        <v>6745</v>
      </c>
      <c r="E152" s="7">
        <v>2</v>
      </c>
      <c r="F152" s="7" t="str">
        <f t="shared" si="8"/>
        <v>Y</v>
      </c>
      <c r="G152" s="6">
        <f t="shared" si="9"/>
        <v>337.25</v>
      </c>
      <c r="H152" s="6">
        <f t="shared" si="10"/>
        <v>0</v>
      </c>
      <c r="I152" s="7">
        <v>1</v>
      </c>
      <c r="J152" s="7"/>
      <c r="K152" s="6">
        <f t="shared" si="11"/>
        <v>0</v>
      </c>
      <c r="L152" s="6">
        <f>'Invoice Data'!$B152+'Invoice Data'!$D152-'Invoice Data'!$G152-'Invoice Data'!$K152+'Invoice Data'!$H152</f>
        <v>6407.75</v>
      </c>
      <c r="M152" s="6" t="e">
        <f>VLOOKUP('Invoice Data'!$A152,BPay!$B$4:$D$10,3,0)</f>
        <v>#N/A</v>
      </c>
      <c r="N152" s="8"/>
    </row>
    <row r="153" spans="1:14" x14ac:dyDescent="0.3">
      <c r="A153" s="12">
        <v>31819</v>
      </c>
      <c r="B153" s="6">
        <v>0</v>
      </c>
      <c r="C153" s="7"/>
      <c r="D153" s="6">
        <v>5310</v>
      </c>
      <c r="E153" s="7">
        <v>1</v>
      </c>
      <c r="F153" s="7" t="str">
        <f t="shared" si="8"/>
        <v/>
      </c>
      <c r="G153" s="6">
        <f t="shared" si="9"/>
        <v>0</v>
      </c>
      <c r="H153" s="6">
        <f t="shared" si="10"/>
        <v>0</v>
      </c>
      <c r="I153" s="7">
        <v>15</v>
      </c>
      <c r="J153" s="7"/>
      <c r="K153" s="6">
        <f t="shared" si="11"/>
        <v>0</v>
      </c>
      <c r="L153" s="6">
        <f>'Invoice Data'!$B153+'Invoice Data'!$D153-'Invoice Data'!$G153-'Invoice Data'!$K153+'Invoice Data'!$H153</f>
        <v>5310</v>
      </c>
      <c r="M153" s="6" t="e">
        <f>VLOOKUP('Invoice Data'!$A153,BPay!$B$4:$D$10,3,0)</f>
        <v>#N/A</v>
      </c>
      <c r="N153" s="8"/>
    </row>
    <row r="154" spans="1:14" x14ac:dyDescent="0.3">
      <c r="A154" s="12">
        <v>31828</v>
      </c>
      <c r="B154" s="6">
        <v>0</v>
      </c>
      <c r="C154" s="7"/>
      <c r="D154" s="6">
        <v>3827</v>
      </c>
      <c r="E154" s="7">
        <v>1</v>
      </c>
      <c r="F154" s="7" t="str">
        <f t="shared" si="8"/>
        <v/>
      </c>
      <c r="G154" s="6">
        <f t="shared" si="9"/>
        <v>0</v>
      </c>
      <c r="H154" s="6">
        <f t="shared" si="10"/>
        <v>0</v>
      </c>
      <c r="I154" s="7">
        <v>0</v>
      </c>
      <c r="J154" s="7"/>
      <c r="K154" s="6">
        <f t="shared" si="11"/>
        <v>0</v>
      </c>
      <c r="L154" s="6">
        <f>'Invoice Data'!$B154+'Invoice Data'!$D154-'Invoice Data'!$G154-'Invoice Data'!$K154+'Invoice Data'!$H154</f>
        <v>3827</v>
      </c>
      <c r="M154" s="6" t="e">
        <f>VLOOKUP('Invoice Data'!$A154,BPay!$B$4:$D$10,3,0)</f>
        <v>#N/A</v>
      </c>
      <c r="N154" s="8"/>
    </row>
    <row r="155" spans="1:14" x14ac:dyDescent="0.3">
      <c r="A155" s="12">
        <v>31837</v>
      </c>
      <c r="B155" s="6">
        <v>0</v>
      </c>
      <c r="C155" s="7"/>
      <c r="D155" s="6">
        <v>4059</v>
      </c>
      <c r="E155" s="7">
        <v>1</v>
      </c>
      <c r="F155" s="7" t="str">
        <f t="shared" si="8"/>
        <v/>
      </c>
      <c r="G155" s="6">
        <f t="shared" si="9"/>
        <v>0</v>
      </c>
      <c r="H155" s="6">
        <f t="shared" si="10"/>
        <v>0</v>
      </c>
      <c r="I155" s="7">
        <v>8</v>
      </c>
      <c r="J155" s="7"/>
      <c r="K155" s="6">
        <f t="shared" si="11"/>
        <v>0</v>
      </c>
      <c r="L155" s="6">
        <f>'Invoice Data'!$B155+'Invoice Data'!$D155-'Invoice Data'!$G155-'Invoice Data'!$K155+'Invoice Data'!$H155</f>
        <v>4059</v>
      </c>
      <c r="M155" s="6" t="e">
        <f>VLOOKUP('Invoice Data'!$A155,BPay!$B$4:$D$10,3,0)</f>
        <v>#N/A</v>
      </c>
      <c r="N155" s="8"/>
    </row>
    <row r="156" spans="1:14" x14ac:dyDescent="0.3">
      <c r="A156" s="12">
        <v>31846</v>
      </c>
      <c r="B156" s="6">
        <v>0</v>
      </c>
      <c r="C156" s="7"/>
      <c r="D156" s="6">
        <v>5155</v>
      </c>
      <c r="E156" s="7">
        <v>1</v>
      </c>
      <c r="F156" s="7" t="str">
        <f t="shared" si="8"/>
        <v/>
      </c>
      <c r="G156" s="6">
        <f t="shared" si="9"/>
        <v>0</v>
      </c>
      <c r="H156" s="6">
        <f t="shared" si="10"/>
        <v>0</v>
      </c>
      <c r="I156" s="7">
        <v>13</v>
      </c>
      <c r="J156" s="7"/>
      <c r="K156" s="6">
        <f t="shared" si="11"/>
        <v>0</v>
      </c>
      <c r="L156" s="6">
        <f>'Invoice Data'!$B156+'Invoice Data'!$D156-'Invoice Data'!$G156-'Invoice Data'!$K156+'Invoice Data'!$H156</f>
        <v>5155</v>
      </c>
      <c r="M156" s="6" t="e">
        <f>VLOOKUP('Invoice Data'!$A156,BPay!$B$4:$D$10,3,0)</f>
        <v>#N/A</v>
      </c>
      <c r="N156" s="8"/>
    </row>
    <row r="157" spans="1:14" x14ac:dyDescent="0.3">
      <c r="A157" s="12">
        <v>31855</v>
      </c>
      <c r="B157" s="6">
        <v>0</v>
      </c>
      <c r="C157" s="7"/>
      <c r="D157" s="6">
        <v>10203</v>
      </c>
      <c r="E157" s="7">
        <v>3</v>
      </c>
      <c r="F157" s="7" t="str">
        <f t="shared" si="8"/>
        <v>Y</v>
      </c>
      <c r="G157" s="6">
        <f t="shared" si="9"/>
        <v>510.15000000000003</v>
      </c>
      <c r="H157" s="6">
        <f t="shared" si="10"/>
        <v>0</v>
      </c>
      <c r="I157" s="7">
        <v>6</v>
      </c>
      <c r="J157" s="7"/>
      <c r="K157" s="6">
        <f t="shared" si="11"/>
        <v>0</v>
      </c>
      <c r="L157" s="6">
        <f>'Invoice Data'!$B157+'Invoice Data'!$D157-'Invoice Data'!$G157-'Invoice Data'!$K157+'Invoice Data'!$H157</f>
        <v>9692.85</v>
      </c>
      <c r="M157" s="6" t="e">
        <f>VLOOKUP('Invoice Data'!$A157,BPay!$B$4:$D$10,3,0)</f>
        <v>#N/A</v>
      </c>
      <c r="N157" s="8"/>
    </row>
    <row r="158" spans="1:14" x14ac:dyDescent="0.3">
      <c r="A158" s="12">
        <v>31864</v>
      </c>
      <c r="B158" s="6">
        <v>0</v>
      </c>
      <c r="C158" s="7"/>
      <c r="D158" s="6">
        <v>10113</v>
      </c>
      <c r="E158" s="7">
        <v>2</v>
      </c>
      <c r="F158" s="7" t="str">
        <f t="shared" si="8"/>
        <v>Y</v>
      </c>
      <c r="G158" s="6">
        <f t="shared" si="9"/>
        <v>505.65000000000003</v>
      </c>
      <c r="H158" s="6">
        <f t="shared" si="10"/>
        <v>0</v>
      </c>
      <c r="I158" s="7">
        <v>6</v>
      </c>
      <c r="J158" s="7"/>
      <c r="K158" s="6">
        <f t="shared" si="11"/>
        <v>0</v>
      </c>
      <c r="L158" s="6">
        <f>'Invoice Data'!$B158+'Invoice Data'!$D158-'Invoice Data'!$G158-'Invoice Data'!$K158+'Invoice Data'!$H158</f>
        <v>9607.35</v>
      </c>
      <c r="M158" s="6" t="e">
        <f>VLOOKUP('Invoice Data'!$A158,BPay!$B$4:$D$10,3,0)</f>
        <v>#N/A</v>
      </c>
      <c r="N158" s="8"/>
    </row>
    <row r="159" spans="1:14" x14ac:dyDescent="0.3">
      <c r="A159" s="12">
        <v>31873</v>
      </c>
      <c r="B159" s="6">
        <v>0</v>
      </c>
      <c r="C159" s="7"/>
      <c r="D159" s="6">
        <v>3792</v>
      </c>
      <c r="E159" s="7">
        <v>1</v>
      </c>
      <c r="F159" s="7" t="str">
        <f t="shared" si="8"/>
        <v/>
      </c>
      <c r="G159" s="6">
        <f t="shared" si="9"/>
        <v>0</v>
      </c>
      <c r="H159" s="6">
        <f t="shared" si="10"/>
        <v>0</v>
      </c>
      <c r="I159" s="7">
        <v>7</v>
      </c>
      <c r="J159" s="7"/>
      <c r="K159" s="6">
        <f t="shared" si="11"/>
        <v>0</v>
      </c>
      <c r="L159" s="6">
        <f>'Invoice Data'!$B159+'Invoice Data'!$D159-'Invoice Data'!$G159-'Invoice Data'!$K159+'Invoice Data'!$H159</f>
        <v>3792</v>
      </c>
      <c r="M159" s="6" t="e">
        <f>VLOOKUP('Invoice Data'!$A159,BPay!$B$4:$D$10,3,0)</f>
        <v>#N/A</v>
      </c>
      <c r="N159" s="8"/>
    </row>
    <row r="160" spans="1:14" x14ac:dyDescent="0.3">
      <c r="A160" s="12">
        <v>31882</v>
      </c>
      <c r="B160" s="6">
        <v>0</v>
      </c>
      <c r="C160" s="7"/>
      <c r="D160" s="6">
        <v>8760</v>
      </c>
      <c r="E160" s="7">
        <v>2</v>
      </c>
      <c r="F160" s="7" t="str">
        <f t="shared" si="8"/>
        <v>Y</v>
      </c>
      <c r="G160" s="6">
        <f t="shared" si="9"/>
        <v>438</v>
      </c>
      <c r="H160" s="6">
        <f t="shared" si="10"/>
        <v>0</v>
      </c>
      <c r="I160" s="7">
        <v>11</v>
      </c>
      <c r="J160" s="7"/>
      <c r="K160" s="6">
        <f t="shared" si="11"/>
        <v>0</v>
      </c>
      <c r="L160" s="6">
        <f>'Invoice Data'!$B160+'Invoice Data'!$D160-'Invoice Data'!$G160-'Invoice Data'!$K160+'Invoice Data'!$H160</f>
        <v>8322</v>
      </c>
      <c r="M160" s="6" t="e">
        <f>VLOOKUP('Invoice Data'!$A160,BPay!$B$4:$D$10,3,0)</f>
        <v>#N/A</v>
      </c>
      <c r="N160" s="8"/>
    </row>
    <row r="161" spans="1:14" x14ac:dyDescent="0.3">
      <c r="A161" s="12">
        <v>31891</v>
      </c>
      <c r="B161" s="6">
        <v>0</v>
      </c>
      <c r="C161" s="7"/>
      <c r="D161" s="6">
        <v>7547</v>
      </c>
      <c r="E161" s="7">
        <v>2</v>
      </c>
      <c r="F161" s="7" t="str">
        <f t="shared" si="8"/>
        <v>Y</v>
      </c>
      <c r="G161" s="6">
        <f t="shared" si="9"/>
        <v>377.35</v>
      </c>
      <c r="H161" s="6">
        <f t="shared" si="10"/>
        <v>0</v>
      </c>
      <c r="I161" s="7">
        <v>7</v>
      </c>
      <c r="J161" s="7"/>
      <c r="K161" s="6">
        <f t="shared" si="11"/>
        <v>0</v>
      </c>
      <c r="L161" s="6">
        <f>'Invoice Data'!$B161+'Invoice Data'!$D161-'Invoice Data'!$G161-'Invoice Data'!$K161+'Invoice Data'!$H161</f>
        <v>7169.65</v>
      </c>
      <c r="M161" s="6" t="e">
        <f>VLOOKUP('Invoice Data'!$A161,BPay!$B$4:$D$10,3,0)</f>
        <v>#N/A</v>
      </c>
      <c r="N161" s="8"/>
    </row>
    <row r="162" spans="1:14" x14ac:dyDescent="0.3">
      <c r="A162" s="12">
        <v>31908</v>
      </c>
      <c r="B162" s="6">
        <v>0</v>
      </c>
      <c r="C162" s="7"/>
      <c r="D162" s="6">
        <v>8869</v>
      </c>
      <c r="E162" s="7">
        <v>2</v>
      </c>
      <c r="F162" s="7" t="str">
        <f t="shared" si="8"/>
        <v>Y</v>
      </c>
      <c r="G162" s="6">
        <f t="shared" si="9"/>
        <v>443.45000000000005</v>
      </c>
      <c r="H162" s="6">
        <f t="shared" si="10"/>
        <v>0</v>
      </c>
      <c r="I162" s="7">
        <v>14</v>
      </c>
      <c r="J162" s="7"/>
      <c r="K162" s="6">
        <f t="shared" si="11"/>
        <v>0</v>
      </c>
      <c r="L162" s="6">
        <f>'Invoice Data'!$B162+'Invoice Data'!$D162-'Invoice Data'!$G162-'Invoice Data'!$K162+'Invoice Data'!$H162</f>
        <v>8425.5499999999993</v>
      </c>
      <c r="M162" s="6" t="e">
        <f>VLOOKUP('Invoice Data'!$A162,BPay!$B$4:$D$10,3,0)</f>
        <v>#N/A</v>
      </c>
      <c r="N162" s="8"/>
    </row>
    <row r="163" spans="1:14" x14ac:dyDescent="0.3">
      <c r="A163" s="12">
        <v>31917</v>
      </c>
      <c r="B163" s="6">
        <v>0</v>
      </c>
      <c r="C163" s="7"/>
      <c r="D163" s="6">
        <v>3678</v>
      </c>
      <c r="E163" s="7">
        <v>1</v>
      </c>
      <c r="F163" s="7" t="str">
        <f t="shared" si="8"/>
        <v/>
      </c>
      <c r="G163" s="6">
        <f t="shared" si="9"/>
        <v>0</v>
      </c>
      <c r="H163" s="6">
        <f t="shared" si="10"/>
        <v>0</v>
      </c>
      <c r="I163" s="7">
        <v>10</v>
      </c>
      <c r="J163" s="7"/>
      <c r="K163" s="6">
        <f t="shared" si="11"/>
        <v>0</v>
      </c>
      <c r="L163" s="6">
        <f>'Invoice Data'!$B163+'Invoice Data'!$D163-'Invoice Data'!$G163-'Invoice Data'!$K163+'Invoice Data'!$H163</f>
        <v>3678</v>
      </c>
      <c r="M163" s="6" t="e">
        <f>VLOOKUP('Invoice Data'!$A163,BPay!$B$4:$D$10,3,0)</f>
        <v>#N/A</v>
      </c>
      <c r="N163" s="8"/>
    </row>
    <row r="164" spans="1:14" x14ac:dyDescent="0.3">
      <c r="A164" s="12">
        <v>31926</v>
      </c>
      <c r="B164" s="6">
        <v>0</v>
      </c>
      <c r="C164" s="7"/>
      <c r="D164" s="6">
        <v>3876</v>
      </c>
      <c r="E164" s="7">
        <v>1</v>
      </c>
      <c r="F164" s="7" t="str">
        <f t="shared" si="8"/>
        <v/>
      </c>
      <c r="G164" s="6">
        <f t="shared" si="9"/>
        <v>0</v>
      </c>
      <c r="H164" s="6">
        <f t="shared" si="10"/>
        <v>0</v>
      </c>
      <c r="I164" s="7">
        <v>10</v>
      </c>
      <c r="J164" s="7"/>
      <c r="K164" s="6">
        <f t="shared" si="11"/>
        <v>0</v>
      </c>
      <c r="L164" s="6">
        <f>'Invoice Data'!$B164+'Invoice Data'!$D164-'Invoice Data'!$G164-'Invoice Data'!$K164+'Invoice Data'!$H164</f>
        <v>3876</v>
      </c>
      <c r="M164" s="6" t="e">
        <f>VLOOKUP('Invoice Data'!$A164,BPay!$B$4:$D$10,3,0)</f>
        <v>#N/A</v>
      </c>
      <c r="N164" s="8"/>
    </row>
    <row r="165" spans="1:14" x14ac:dyDescent="0.3">
      <c r="A165" s="12">
        <v>31935</v>
      </c>
      <c r="B165" s="6">
        <v>0</v>
      </c>
      <c r="C165" s="7"/>
      <c r="D165" s="6">
        <v>7158</v>
      </c>
      <c r="E165" s="7">
        <v>2</v>
      </c>
      <c r="F165" s="7" t="str">
        <f t="shared" si="8"/>
        <v>Y</v>
      </c>
      <c r="G165" s="6">
        <f t="shared" si="9"/>
        <v>357.90000000000003</v>
      </c>
      <c r="H165" s="6">
        <f t="shared" si="10"/>
        <v>0</v>
      </c>
      <c r="I165" s="7">
        <v>3</v>
      </c>
      <c r="J165" s="7"/>
      <c r="K165" s="6">
        <f t="shared" si="11"/>
        <v>0</v>
      </c>
      <c r="L165" s="6">
        <f>'Invoice Data'!$B165+'Invoice Data'!$D165-'Invoice Data'!$G165-'Invoice Data'!$K165+'Invoice Data'!$H165</f>
        <v>6800.1</v>
      </c>
      <c r="M165" s="6" t="e">
        <f>VLOOKUP('Invoice Data'!$A165,BPay!$B$4:$D$10,3,0)</f>
        <v>#N/A</v>
      </c>
      <c r="N165" s="8"/>
    </row>
    <row r="166" spans="1:14" x14ac:dyDescent="0.3">
      <c r="A166" s="12">
        <v>31944</v>
      </c>
      <c r="B166" s="6">
        <v>0</v>
      </c>
      <c r="C166" s="7"/>
      <c r="D166" s="6">
        <v>10229</v>
      </c>
      <c r="E166" s="7">
        <v>2</v>
      </c>
      <c r="F166" s="7" t="str">
        <f t="shared" si="8"/>
        <v>Y</v>
      </c>
      <c r="G166" s="6">
        <f t="shared" si="9"/>
        <v>511.45000000000005</v>
      </c>
      <c r="H166" s="6">
        <f t="shared" si="10"/>
        <v>0</v>
      </c>
      <c r="I166" s="7">
        <v>13</v>
      </c>
      <c r="J166" s="7"/>
      <c r="K166" s="6">
        <f t="shared" si="11"/>
        <v>0</v>
      </c>
      <c r="L166" s="6">
        <f>'Invoice Data'!$B166+'Invoice Data'!$D166-'Invoice Data'!$G166-'Invoice Data'!$K166+'Invoice Data'!$H166</f>
        <v>9717.5499999999993</v>
      </c>
      <c r="M166" s="6" t="e">
        <f>VLOOKUP('Invoice Data'!$A166,BPay!$B$4:$D$10,3,0)</f>
        <v>#N/A</v>
      </c>
      <c r="N166" s="8"/>
    </row>
    <row r="167" spans="1:14" x14ac:dyDescent="0.3">
      <c r="A167" s="12">
        <v>31953</v>
      </c>
      <c r="B167" s="6">
        <v>0</v>
      </c>
      <c r="C167" s="7"/>
      <c r="D167" s="6">
        <v>9709</v>
      </c>
      <c r="E167" s="7">
        <v>2</v>
      </c>
      <c r="F167" s="7" t="str">
        <f t="shared" si="8"/>
        <v>Y</v>
      </c>
      <c r="G167" s="6">
        <f t="shared" si="9"/>
        <v>485.45000000000005</v>
      </c>
      <c r="H167" s="6">
        <f t="shared" si="10"/>
        <v>0</v>
      </c>
      <c r="I167" s="7">
        <v>5</v>
      </c>
      <c r="J167" s="7"/>
      <c r="K167" s="6">
        <f t="shared" si="11"/>
        <v>0</v>
      </c>
      <c r="L167" s="6">
        <f>'Invoice Data'!$B167+'Invoice Data'!$D167-'Invoice Data'!$G167-'Invoice Data'!$K167+'Invoice Data'!$H167</f>
        <v>9223.5499999999993</v>
      </c>
      <c r="M167" s="6" t="e">
        <f>VLOOKUP('Invoice Data'!$A167,BPay!$B$4:$D$10,3,0)</f>
        <v>#N/A</v>
      </c>
      <c r="N167" s="8"/>
    </row>
    <row r="168" spans="1:14" x14ac:dyDescent="0.3">
      <c r="A168" s="12">
        <v>31962</v>
      </c>
      <c r="B168" s="6">
        <v>0</v>
      </c>
      <c r="C168" s="7"/>
      <c r="D168" s="6">
        <v>3841</v>
      </c>
      <c r="E168" s="7">
        <v>1</v>
      </c>
      <c r="F168" s="7" t="str">
        <f t="shared" si="8"/>
        <v/>
      </c>
      <c r="G168" s="6">
        <f t="shared" si="9"/>
        <v>0</v>
      </c>
      <c r="H168" s="6">
        <f t="shared" si="10"/>
        <v>0</v>
      </c>
      <c r="I168" s="7">
        <v>4</v>
      </c>
      <c r="J168" s="7"/>
      <c r="K168" s="6">
        <f t="shared" si="11"/>
        <v>0</v>
      </c>
      <c r="L168" s="6">
        <f>'Invoice Data'!$B168+'Invoice Data'!$D168-'Invoice Data'!$G168-'Invoice Data'!$K168+'Invoice Data'!$H168</f>
        <v>3841</v>
      </c>
      <c r="M168" s="6" t="e">
        <f>VLOOKUP('Invoice Data'!$A168,BPay!$B$4:$D$10,3,0)</f>
        <v>#N/A</v>
      </c>
      <c r="N168" s="8"/>
    </row>
    <row r="169" spans="1:14" x14ac:dyDescent="0.3">
      <c r="A169" s="12">
        <v>31971</v>
      </c>
      <c r="B169" s="6">
        <v>0</v>
      </c>
      <c r="C169" s="7"/>
      <c r="D169" s="6">
        <v>4728</v>
      </c>
      <c r="E169" s="7">
        <v>1</v>
      </c>
      <c r="F169" s="7" t="str">
        <f t="shared" si="8"/>
        <v/>
      </c>
      <c r="G169" s="6">
        <f t="shared" si="9"/>
        <v>0</v>
      </c>
      <c r="H169" s="6">
        <f t="shared" si="10"/>
        <v>0</v>
      </c>
      <c r="I169" s="7">
        <v>2</v>
      </c>
      <c r="J169" s="7"/>
      <c r="K169" s="6">
        <f t="shared" si="11"/>
        <v>0</v>
      </c>
      <c r="L169" s="6">
        <f>'Invoice Data'!$B169+'Invoice Data'!$D169-'Invoice Data'!$G169-'Invoice Data'!$K169+'Invoice Data'!$H169</f>
        <v>4728</v>
      </c>
      <c r="M169" s="6" t="e">
        <f>VLOOKUP('Invoice Data'!$A169,BPay!$B$4:$D$10,3,0)</f>
        <v>#N/A</v>
      </c>
      <c r="N169" s="8"/>
    </row>
    <row r="170" spans="1:14" x14ac:dyDescent="0.3">
      <c r="A170" s="12">
        <v>31980</v>
      </c>
      <c r="B170" s="6">
        <v>0</v>
      </c>
      <c r="C170" s="7"/>
      <c r="D170" s="6">
        <v>3970</v>
      </c>
      <c r="E170" s="7">
        <v>1</v>
      </c>
      <c r="F170" s="7" t="str">
        <f t="shared" si="8"/>
        <v/>
      </c>
      <c r="G170" s="6">
        <f t="shared" si="9"/>
        <v>0</v>
      </c>
      <c r="H170" s="6">
        <f t="shared" si="10"/>
        <v>0</v>
      </c>
      <c r="I170" s="7">
        <v>4</v>
      </c>
      <c r="J170" s="7"/>
      <c r="K170" s="6">
        <f t="shared" si="11"/>
        <v>0</v>
      </c>
      <c r="L170" s="6">
        <f>'Invoice Data'!$B170+'Invoice Data'!$D170-'Invoice Data'!$G170-'Invoice Data'!$K170+'Invoice Data'!$H170</f>
        <v>3970</v>
      </c>
      <c r="M170" s="6" t="e">
        <f>VLOOKUP('Invoice Data'!$A170,BPay!$B$4:$D$10,3,0)</f>
        <v>#N/A</v>
      </c>
      <c r="N170" s="8"/>
    </row>
    <row r="171" spans="1:14" x14ac:dyDescent="0.3">
      <c r="A171" s="12">
        <v>31999</v>
      </c>
      <c r="B171" s="6">
        <v>0</v>
      </c>
      <c r="C171" s="7"/>
      <c r="D171" s="6">
        <v>3886</v>
      </c>
      <c r="E171" s="7">
        <v>1</v>
      </c>
      <c r="F171" s="7" t="str">
        <f t="shared" si="8"/>
        <v/>
      </c>
      <c r="G171" s="6">
        <f t="shared" si="9"/>
        <v>0</v>
      </c>
      <c r="H171" s="6">
        <f t="shared" si="10"/>
        <v>0</v>
      </c>
      <c r="I171" s="7">
        <v>13</v>
      </c>
      <c r="J171" s="7"/>
      <c r="K171" s="6">
        <f t="shared" si="11"/>
        <v>0</v>
      </c>
      <c r="L171" s="6">
        <f>'Invoice Data'!$B171+'Invoice Data'!$D171-'Invoice Data'!$G171-'Invoice Data'!$K171+'Invoice Data'!$H171</f>
        <v>3886</v>
      </c>
      <c r="M171" s="6" t="e">
        <f>VLOOKUP('Invoice Data'!$A171,BPay!$B$4:$D$10,3,0)</f>
        <v>#N/A</v>
      </c>
      <c r="N171" s="8"/>
    </row>
    <row r="172" spans="1:14" x14ac:dyDescent="0.3">
      <c r="A172" s="12">
        <v>32006</v>
      </c>
      <c r="B172" s="6">
        <v>0</v>
      </c>
      <c r="C172" s="7"/>
      <c r="D172" s="6">
        <v>3779</v>
      </c>
      <c r="E172" s="7">
        <v>1</v>
      </c>
      <c r="F172" s="7" t="str">
        <f t="shared" si="8"/>
        <v/>
      </c>
      <c r="G172" s="6">
        <f t="shared" si="9"/>
        <v>0</v>
      </c>
      <c r="H172" s="6">
        <f t="shared" si="10"/>
        <v>0</v>
      </c>
      <c r="I172" s="7">
        <v>0</v>
      </c>
      <c r="J172" s="7"/>
      <c r="K172" s="6">
        <f t="shared" si="11"/>
        <v>0</v>
      </c>
      <c r="L172" s="6">
        <f>'Invoice Data'!$B172+'Invoice Data'!$D172-'Invoice Data'!$G172-'Invoice Data'!$K172+'Invoice Data'!$H172</f>
        <v>3779</v>
      </c>
      <c r="M172" s="6" t="e">
        <f>VLOOKUP('Invoice Data'!$A172,BPay!$B$4:$D$10,3,0)</f>
        <v>#N/A</v>
      </c>
      <c r="N172" s="8"/>
    </row>
    <row r="173" spans="1:14" x14ac:dyDescent="0.3">
      <c r="A173" s="12">
        <v>32015</v>
      </c>
      <c r="B173" s="6">
        <v>0</v>
      </c>
      <c r="C173" s="7"/>
      <c r="D173" s="6">
        <v>8735</v>
      </c>
      <c r="E173" s="7">
        <v>2</v>
      </c>
      <c r="F173" s="7" t="str">
        <f t="shared" si="8"/>
        <v>Y</v>
      </c>
      <c r="G173" s="6">
        <f t="shared" si="9"/>
        <v>436.75</v>
      </c>
      <c r="H173" s="6">
        <f t="shared" si="10"/>
        <v>0</v>
      </c>
      <c r="I173" s="7">
        <v>14</v>
      </c>
      <c r="J173" s="7"/>
      <c r="K173" s="6">
        <f t="shared" si="11"/>
        <v>0</v>
      </c>
      <c r="L173" s="6">
        <f>'Invoice Data'!$B173+'Invoice Data'!$D173-'Invoice Data'!$G173-'Invoice Data'!$K173+'Invoice Data'!$H173</f>
        <v>8298.25</v>
      </c>
      <c r="M173" s="6" t="e">
        <f>VLOOKUP('Invoice Data'!$A173,BPay!$B$4:$D$10,3,0)</f>
        <v>#N/A</v>
      </c>
      <c r="N173" s="8"/>
    </row>
    <row r="174" spans="1:14" x14ac:dyDescent="0.3">
      <c r="A174" s="12">
        <v>32024</v>
      </c>
      <c r="B174" s="6">
        <v>0</v>
      </c>
      <c r="C174" s="7"/>
      <c r="D174" s="6">
        <v>8270</v>
      </c>
      <c r="E174" s="7">
        <v>2</v>
      </c>
      <c r="F174" s="7" t="str">
        <f t="shared" si="8"/>
        <v>Y</v>
      </c>
      <c r="G174" s="6">
        <f t="shared" si="9"/>
        <v>413.5</v>
      </c>
      <c r="H174" s="6">
        <f t="shared" si="10"/>
        <v>0</v>
      </c>
      <c r="I174" s="7">
        <v>8</v>
      </c>
      <c r="J174" s="7"/>
      <c r="K174" s="6">
        <f t="shared" si="11"/>
        <v>0</v>
      </c>
      <c r="L174" s="6">
        <f>'Invoice Data'!$B174+'Invoice Data'!$D174-'Invoice Data'!$G174-'Invoice Data'!$K174+'Invoice Data'!$H174</f>
        <v>7856.5</v>
      </c>
      <c r="M174" s="6" t="e">
        <f>VLOOKUP('Invoice Data'!$A174,BPay!$B$4:$D$10,3,0)</f>
        <v>#N/A</v>
      </c>
      <c r="N174" s="8"/>
    </row>
    <row r="175" spans="1:14" x14ac:dyDescent="0.3">
      <c r="A175" s="12">
        <v>32033</v>
      </c>
      <c r="B175" s="6">
        <v>0</v>
      </c>
      <c r="C175" s="7"/>
      <c r="D175" s="6">
        <v>8397</v>
      </c>
      <c r="E175" s="7">
        <v>2</v>
      </c>
      <c r="F175" s="7" t="str">
        <f t="shared" si="8"/>
        <v>Y</v>
      </c>
      <c r="G175" s="6">
        <f t="shared" si="9"/>
        <v>419.85</v>
      </c>
      <c r="H175" s="6">
        <f t="shared" si="10"/>
        <v>0</v>
      </c>
      <c r="I175" s="7">
        <v>11</v>
      </c>
      <c r="J175" s="7"/>
      <c r="K175" s="6">
        <f t="shared" si="11"/>
        <v>0</v>
      </c>
      <c r="L175" s="6">
        <f>'Invoice Data'!$B175+'Invoice Data'!$D175-'Invoice Data'!$G175-'Invoice Data'!$K175+'Invoice Data'!$H175</f>
        <v>7977.15</v>
      </c>
      <c r="M175" s="6" t="e">
        <f>VLOOKUP('Invoice Data'!$A175,BPay!$B$4:$D$10,3,0)</f>
        <v>#N/A</v>
      </c>
      <c r="N175" s="8"/>
    </row>
    <row r="176" spans="1:14" x14ac:dyDescent="0.3">
      <c r="A176" s="12">
        <v>32051</v>
      </c>
      <c r="B176" s="6">
        <v>0</v>
      </c>
      <c r="C176" s="7"/>
      <c r="D176" s="6">
        <v>3778</v>
      </c>
      <c r="E176" s="7">
        <v>1</v>
      </c>
      <c r="F176" s="7" t="str">
        <f t="shared" si="8"/>
        <v/>
      </c>
      <c r="G176" s="6">
        <f t="shared" si="9"/>
        <v>0</v>
      </c>
      <c r="H176" s="6">
        <f t="shared" si="10"/>
        <v>0</v>
      </c>
      <c r="I176" s="7">
        <v>12</v>
      </c>
      <c r="J176" s="7"/>
      <c r="K176" s="6">
        <f t="shared" si="11"/>
        <v>0</v>
      </c>
      <c r="L176" s="6">
        <f>'Invoice Data'!$B176+'Invoice Data'!$D176-'Invoice Data'!$G176-'Invoice Data'!$K176+'Invoice Data'!$H176</f>
        <v>3778</v>
      </c>
      <c r="M176" s="6" t="e">
        <f>VLOOKUP('Invoice Data'!$A176,BPay!$B$4:$D$10,3,0)</f>
        <v>#N/A</v>
      </c>
      <c r="N176" s="8"/>
    </row>
    <row r="177" spans="1:14" x14ac:dyDescent="0.3">
      <c r="A177" s="12">
        <v>32060</v>
      </c>
      <c r="B177" s="6">
        <v>0</v>
      </c>
      <c r="C177" s="7"/>
      <c r="D177" s="6">
        <v>3706</v>
      </c>
      <c r="E177" s="7">
        <v>1</v>
      </c>
      <c r="F177" s="7" t="str">
        <f t="shared" si="8"/>
        <v/>
      </c>
      <c r="G177" s="6">
        <f t="shared" si="9"/>
        <v>0</v>
      </c>
      <c r="H177" s="6">
        <f t="shared" si="10"/>
        <v>0</v>
      </c>
      <c r="I177" s="7">
        <v>1</v>
      </c>
      <c r="J177" s="7"/>
      <c r="K177" s="6">
        <f t="shared" si="11"/>
        <v>0</v>
      </c>
      <c r="L177" s="6">
        <f>'Invoice Data'!$B177+'Invoice Data'!$D177-'Invoice Data'!$G177-'Invoice Data'!$K177+'Invoice Data'!$H177</f>
        <v>3706</v>
      </c>
      <c r="M177" s="6" t="e">
        <f>VLOOKUP('Invoice Data'!$A177,BPay!$B$4:$D$10,3,0)</f>
        <v>#N/A</v>
      </c>
      <c r="N177" s="8"/>
    </row>
    <row r="178" spans="1:14" x14ac:dyDescent="0.3">
      <c r="A178" s="12">
        <v>32079</v>
      </c>
      <c r="B178" s="6">
        <v>0</v>
      </c>
      <c r="C178" s="7"/>
      <c r="D178" s="6">
        <v>16614</v>
      </c>
      <c r="E178" s="7">
        <v>4</v>
      </c>
      <c r="F178" s="7" t="str">
        <f t="shared" si="8"/>
        <v>Y</v>
      </c>
      <c r="G178" s="6">
        <f t="shared" si="9"/>
        <v>830.7</v>
      </c>
      <c r="H178" s="6">
        <f t="shared" si="10"/>
        <v>0</v>
      </c>
      <c r="I178" s="7">
        <v>12</v>
      </c>
      <c r="J178" s="7"/>
      <c r="K178" s="6">
        <f t="shared" si="11"/>
        <v>0</v>
      </c>
      <c r="L178" s="6">
        <f>'Invoice Data'!$B178+'Invoice Data'!$D178-'Invoice Data'!$G178-'Invoice Data'!$K178+'Invoice Data'!$H178</f>
        <v>15783.3</v>
      </c>
      <c r="M178" s="6" t="e">
        <f>VLOOKUP('Invoice Data'!$A178,BPay!$B$4:$D$10,3,0)</f>
        <v>#N/A</v>
      </c>
      <c r="N178" s="8"/>
    </row>
    <row r="179" spans="1:14" x14ac:dyDescent="0.3">
      <c r="A179" s="12">
        <v>32088</v>
      </c>
      <c r="B179" s="6">
        <v>0</v>
      </c>
      <c r="C179" s="7"/>
      <c r="D179" s="6">
        <v>9533</v>
      </c>
      <c r="E179" s="7">
        <v>2</v>
      </c>
      <c r="F179" s="7" t="str">
        <f t="shared" si="8"/>
        <v>Y</v>
      </c>
      <c r="G179" s="6">
        <f t="shared" si="9"/>
        <v>476.65000000000003</v>
      </c>
      <c r="H179" s="6">
        <f t="shared" si="10"/>
        <v>0</v>
      </c>
      <c r="I179" s="7">
        <v>7</v>
      </c>
      <c r="J179" s="7"/>
      <c r="K179" s="6">
        <f t="shared" si="11"/>
        <v>0</v>
      </c>
      <c r="L179" s="6">
        <f>'Invoice Data'!$B179+'Invoice Data'!$D179-'Invoice Data'!$G179-'Invoice Data'!$K179+'Invoice Data'!$H179</f>
        <v>9056.35</v>
      </c>
      <c r="M179" s="6" t="e">
        <f>VLOOKUP('Invoice Data'!$A179,BPay!$B$4:$D$10,3,0)</f>
        <v>#N/A</v>
      </c>
      <c r="N179" s="8"/>
    </row>
    <row r="180" spans="1:14" x14ac:dyDescent="0.3">
      <c r="A180" s="12">
        <v>32097</v>
      </c>
      <c r="B180" s="6">
        <v>0</v>
      </c>
      <c r="C180" s="7"/>
      <c r="D180" s="6">
        <v>4056</v>
      </c>
      <c r="E180" s="7">
        <v>1</v>
      </c>
      <c r="F180" s="7" t="str">
        <f t="shared" si="8"/>
        <v/>
      </c>
      <c r="G180" s="6">
        <f t="shared" si="9"/>
        <v>0</v>
      </c>
      <c r="H180" s="6">
        <f t="shared" si="10"/>
        <v>0</v>
      </c>
      <c r="I180" s="7">
        <v>15</v>
      </c>
      <c r="J180" s="7"/>
      <c r="K180" s="6">
        <f t="shared" si="11"/>
        <v>0</v>
      </c>
      <c r="L180" s="6">
        <f>'Invoice Data'!$B180+'Invoice Data'!$D180-'Invoice Data'!$G180-'Invoice Data'!$K180+'Invoice Data'!$H180</f>
        <v>4056</v>
      </c>
      <c r="M180" s="6" t="e">
        <f>VLOOKUP('Invoice Data'!$A180,BPay!$B$4:$D$10,3,0)</f>
        <v>#N/A</v>
      </c>
      <c r="N180" s="8"/>
    </row>
    <row r="181" spans="1:14" x14ac:dyDescent="0.3">
      <c r="A181" s="12">
        <v>32104</v>
      </c>
      <c r="B181" s="6">
        <v>0</v>
      </c>
      <c r="C181" s="7"/>
      <c r="D181" s="6">
        <v>8779</v>
      </c>
      <c r="E181" s="7">
        <v>2</v>
      </c>
      <c r="F181" s="7" t="str">
        <f t="shared" si="8"/>
        <v>Y</v>
      </c>
      <c r="G181" s="6">
        <f t="shared" si="9"/>
        <v>438.95000000000005</v>
      </c>
      <c r="H181" s="6">
        <f t="shared" si="10"/>
        <v>0</v>
      </c>
      <c r="I181" s="7">
        <v>16</v>
      </c>
      <c r="J181" s="7"/>
      <c r="K181" s="6">
        <f t="shared" si="11"/>
        <v>250</v>
      </c>
      <c r="L181" s="6">
        <f>'Invoice Data'!$B181+'Invoice Data'!$D181-'Invoice Data'!$G181-'Invoice Data'!$K181+'Invoice Data'!$H181</f>
        <v>8090.0499999999993</v>
      </c>
      <c r="M181" s="6" t="e">
        <f>VLOOKUP('Invoice Data'!$A181,BPay!$B$4:$D$10,3,0)</f>
        <v>#N/A</v>
      </c>
      <c r="N181" s="8"/>
    </row>
    <row r="182" spans="1:14" x14ac:dyDescent="0.3">
      <c r="A182" s="12">
        <v>32113</v>
      </c>
      <c r="B182" s="6">
        <v>0</v>
      </c>
      <c r="C182" s="7"/>
      <c r="D182" s="6">
        <v>6982</v>
      </c>
      <c r="E182" s="7">
        <v>2</v>
      </c>
      <c r="F182" s="7" t="str">
        <f t="shared" si="8"/>
        <v>Y</v>
      </c>
      <c r="G182" s="6">
        <f t="shared" si="9"/>
        <v>349.1</v>
      </c>
      <c r="H182" s="6">
        <f t="shared" si="10"/>
        <v>0</v>
      </c>
      <c r="I182" s="7">
        <v>0</v>
      </c>
      <c r="J182" s="7"/>
      <c r="K182" s="6">
        <f t="shared" si="11"/>
        <v>0</v>
      </c>
      <c r="L182" s="6">
        <f>'Invoice Data'!$B182+'Invoice Data'!$D182-'Invoice Data'!$G182-'Invoice Data'!$K182+'Invoice Data'!$H182</f>
        <v>6632.9</v>
      </c>
      <c r="M182" s="6" t="e">
        <f>VLOOKUP('Invoice Data'!$A182,BPay!$B$4:$D$10,3,0)</f>
        <v>#N/A</v>
      </c>
      <c r="N182" s="8"/>
    </row>
    <row r="183" spans="1:14" x14ac:dyDescent="0.3">
      <c r="A183" s="12">
        <v>32122</v>
      </c>
      <c r="B183" s="6">
        <v>0</v>
      </c>
      <c r="C183" s="7"/>
      <c r="D183" s="6">
        <v>8488</v>
      </c>
      <c r="E183" s="7">
        <v>2</v>
      </c>
      <c r="F183" s="7" t="str">
        <f t="shared" si="8"/>
        <v>Y</v>
      </c>
      <c r="G183" s="6">
        <f t="shared" si="9"/>
        <v>424.40000000000003</v>
      </c>
      <c r="H183" s="6">
        <f t="shared" si="10"/>
        <v>0</v>
      </c>
      <c r="I183" s="7">
        <v>7</v>
      </c>
      <c r="J183" s="7"/>
      <c r="K183" s="6">
        <f t="shared" si="11"/>
        <v>0</v>
      </c>
      <c r="L183" s="6">
        <f>'Invoice Data'!$B183+'Invoice Data'!$D183-'Invoice Data'!$G183-'Invoice Data'!$K183+'Invoice Data'!$H183</f>
        <v>8063.6</v>
      </c>
      <c r="M183" s="6" t="e">
        <f>VLOOKUP('Invoice Data'!$A183,BPay!$B$4:$D$10,3,0)</f>
        <v>#N/A</v>
      </c>
      <c r="N183" s="8"/>
    </row>
    <row r="184" spans="1:14" x14ac:dyDescent="0.3">
      <c r="A184" s="12">
        <v>32131</v>
      </c>
      <c r="B184" s="6">
        <v>0</v>
      </c>
      <c r="C184" s="7"/>
      <c r="D184" s="6">
        <v>4945</v>
      </c>
      <c r="E184" s="7">
        <v>1</v>
      </c>
      <c r="F184" s="7" t="str">
        <f t="shared" si="8"/>
        <v/>
      </c>
      <c r="G184" s="6">
        <f t="shared" si="9"/>
        <v>0</v>
      </c>
      <c r="H184" s="6">
        <f t="shared" si="10"/>
        <v>0</v>
      </c>
      <c r="I184" s="7">
        <v>12</v>
      </c>
      <c r="J184" s="7"/>
      <c r="K184" s="6">
        <f t="shared" si="11"/>
        <v>0</v>
      </c>
      <c r="L184" s="6">
        <f>'Invoice Data'!$B184+'Invoice Data'!$D184-'Invoice Data'!$G184-'Invoice Data'!$K184+'Invoice Data'!$H184</f>
        <v>4945</v>
      </c>
      <c r="M184" s="6" t="e">
        <f>VLOOKUP('Invoice Data'!$A184,BPay!$B$4:$D$10,3,0)</f>
        <v>#N/A</v>
      </c>
      <c r="N184" s="8"/>
    </row>
    <row r="185" spans="1:14" x14ac:dyDescent="0.3">
      <c r="A185" s="12">
        <v>32140</v>
      </c>
      <c r="B185" s="6">
        <v>0</v>
      </c>
      <c r="C185" s="7"/>
      <c r="D185" s="6">
        <v>4528</v>
      </c>
      <c r="E185" s="7">
        <v>1</v>
      </c>
      <c r="F185" s="7" t="str">
        <f t="shared" si="8"/>
        <v/>
      </c>
      <c r="G185" s="6">
        <f t="shared" si="9"/>
        <v>0</v>
      </c>
      <c r="H185" s="6">
        <f t="shared" si="10"/>
        <v>0</v>
      </c>
      <c r="I185" s="7">
        <v>1</v>
      </c>
      <c r="J185" s="7"/>
      <c r="K185" s="6">
        <f t="shared" si="11"/>
        <v>0</v>
      </c>
      <c r="L185" s="6">
        <f>'Invoice Data'!$B185+'Invoice Data'!$D185-'Invoice Data'!$G185-'Invoice Data'!$K185+'Invoice Data'!$H185</f>
        <v>4528</v>
      </c>
      <c r="M185" s="6" t="e">
        <f>VLOOKUP('Invoice Data'!$A185,BPay!$B$4:$D$10,3,0)</f>
        <v>#N/A</v>
      </c>
      <c r="N185" s="8"/>
    </row>
    <row r="186" spans="1:14" x14ac:dyDescent="0.3">
      <c r="A186" s="12">
        <v>32159</v>
      </c>
      <c r="B186" s="6">
        <v>0</v>
      </c>
      <c r="C186" s="7"/>
      <c r="D186" s="6">
        <v>9208</v>
      </c>
      <c r="E186" s="7">
        <v>2</v>
      </c>
      <c r="F186" s="7" t="str">
        <f t="shared" si="8"/>
        <v>Y</v>
      </c>
      <c r="G186" s="6">
        <f t="shared" si="9"/>
        <v>460.40000000000003</v>
      </c>
      <c r="H186" s="6">
        <f t="shared" si="10"/>
        <v>0</v>
      </c>
      <c r="I186" s="7">
        <v>0</v>
      </c>
      <c r="J186" s="7"/>
      <c r="K186" s="6">
        <f t="shared" si="11"/>
        <v>0</v>
      </c>
      <c r="L186" s="6">
        <f>'Invoice Data'!$B186+'Invoice Data'!$D186-'Invoice Data'!$G186-'Invoice Data'!$K186+'Invoice Data'!$H186</f>
        <v>8747.6</v>
      </c>
      <c r="M186" s="6" t="e">
        <f>VLOOKUP('Invoice Data'!$A186,BPay!$B$4:$D$10,3,0)</f>
        <v>#N/A</v>
      </c>
      <c r="N186" s="8"/>
    </row>
    <row r="187" spans="1:14" x14ac:dyDescent="0.3">
      <c r="A187" s="12">
        <v>32168</v>
      </c>
      <c r="B187" s="6">
        <v>0</v>
      </c>
      <c r="C187" s="7"/>
      <c r="D187" s="6">
        <v>3828</v>
      </c>
      <c r="E187" s="7">
        <v>1</v>
      </c>
      <c r="F187" s="7" t="str">
        <f t="shared" si="8"/>
        <v/>
      </c>
      <c r="G187" s="6">
        <f t="shared" si="9"/>
        <v>0</v>
      </c>
      <c r="H187" s="6">
        <f t="shared" si="10"/>
        <v>0</v>
      </c>
      <c r="I187" s="7">
        <v>12</v>
      </c>
      <c r="J187" s="7"/>
      <c r="K187" s="6">
        <f t="shared" si="11"/>
        <v>0</v>
      </c>
      <c r="L187" s="6">
        <f>'Invoice Data'!$B187+'Invoice Data'!$D187-'Invoice Data'!$G187-'Invoice Data'!$K187+'Invoice Data'!$H187</f>
        <v>3828</v>
      </c>
      <c r="M187" s="6" t="e">
        <f>VLOOKUP('Invoice Data'!$A187,BPay!$B$4:$D$10,3,0)</f>
        <v>#N/A</v>
      </c>
      <c r="N187" s="8"/>
    </row>
    <row r="188" spans="1:14" x14ac:dyDescent="0.3">
      <c r="A188" s="12">
        <v>32177</v>
      </c>
      <c r="B188" s="6">
        <v>0</v>
      </c>
      <c r="C188" s="7"/>
      <c r="D188" s="6">
        <v>3513</v>
      </c>
      <c r="E188" s="7">
        <v>1</v>
      </c>
      <c r="F188" s="7" t="str">
        <f t="shared" si="8"/>
        <v/>
      </c>
      <c r="G188" s="6">
        <f t="shared" si="9"/>
        <v>0</v>
      </c>
      <c r="H188" s="6">
        <f t="shared" si="10"/>
        <v>0</v>
      </c>
      <c r="I188" s="7">
        <v>2</v>
      </c>
      <c r="J188" s="7"/>
      <c r="K188" s="6">
        <f t="shared" si="11"/>
        <v>0</v>
      </c>
      <c r="L188" s="6">
        <f>'Invoice Data'!$B188+'Invoice Data'!$D188-'Invoice Data'!$G188-'Invoice Data'!$K188+'Invoice Data'!$H188</f>
        <v>3513</v>
      </c>
      <c r="M188" s="6" t="e">
        <f>VLOOKUP('Invoice Data'!$A188,BPay!$B$4:$D$10,3,0)</f>
        <v>#N/A</v>
      </c>
      <c r="N188" s="8"/>
    </row>
    <row r="189" spans="1:14" x14ac:dyDescent="0.3">
      <c r="A189" s="12">
        <v>32186</v>
      </c>
      <c r="B189" s="6">
        <v>0</v>
      </c>
      <c r="C189" s="7"/>
      <c r="D189" s="6">
        <v>8577</v>
      </c>
      <c r="E189" s="7">
        <v>2</v>
      </c>
      <c r="F189" s="7" t="str">
        <f t="shared" si="8"/>
        <v>Y</v>
      </c>
      <c r="G189" s="6">
        <f t="shared" si="9"/>
        <v>428.85</v>
      </c>
      <c r="H189" s="6">
        <f t="shared" si="10"/>
        <v>0</v>
      </c>
      <c r="I189" s="7">
        <v>6</v>
      </c>
      <c r="J189" s="7"/>
      <c r="K189" s="6">
        <f t="shared" si="11"/>
        <v>0</v>
      </c>
      <c r="L189" s="6">
        <f>'Invoice Data'!$B189+'Invoice Data'!$D189-'Invoice Data'!$G189-'Invoice Data'!$K189+'Invoice Data'!$H189</f>
        <v>8148.15</v>
      </c>
      <c r="M189" s="6" t="e">
        <f>VLOOKUP('Invoice Data'!$A189,BPay!$B$4:$D$10,3,0)</f>
        <v>#N/A</v>
      </c>
      <c r="N189" s="8"/>
    </row>
    <row r="190" spans="1:14" x14ac:dyDescent="0.3">
      <c r="A190" s="12">
        <v>32195</v>
      </c>
      <c r="B190" s="6">
        <v>0</v>
      </c>
      <c r="C190" s="7"/>
      <c r="D190" s="6">
        <v>8967</v>
      </c>
      <c r="E190" s="7">
        <v>2</v>
      </c>
      <c r="F190" s="7" t="str">
        <f t="shared" si="8"/>
        <v>Y</v>
      </c>
      <c r="G190" s="6">
        <f t="shared" si="9"/>
        <v>448.35</v>
      </c>
      <c r="H190" s="6">
        <f t="shared" si="10"/>
        <v>0</v>
      </c>
      <c r="I190" s="7">
        <v>12</v>
      </c>
      <c r="J190" s="7"/>
      <c r="K190" s="6">
        <f t="shared" si="11"/>
        <v>0</v>
      </c>
      <c r="L190" s="6">
        <f>'Invoice Data'!$B190+'Invoice Data'!$D190-'Invoice Data'!$G190-'Invoice Data'!$K190+'Invoice Data'!$H190</f>
        <v>8518.65</v>
      </c>
      <c r="M190" s="6" t="e">
        <f>VLOOKUP('Invoice Data'!$A190,BPay!$B$4:$D$10,3,0)</f>
        <v>#N/A</v>
      </c>
      <c r="N190" s="8"/>
    </row>
    <row r="191" spans="1:14" x14ac:dyDescent="0.3">
      <c r="A191" s="12">
        <v>32202</v>
      </c>
      <c r="B191" s="6">
        <v>0</v>
      </c>
      <c r="C191" s="7"/>
      <c r="D191" s="6">
        <v>3996</v>
      </c>
      <c r="E191" s="7">
        <v>1</v>
      </c>
      <c r="F191" s="7" t="str">
        <f t="shared" si="8"/>
        <v/>
      </c>
      <c r="G191" s="6">
        <f t="shared" si="9"/>
        <v>0</v>
      </c>
      <c r="H191" s="6">
        <f t="shared" si="10"/>
        <v>0</v>
      </c>
      <c r="I191" s="7">
        <v>12</v>
      </c>
      <c r="J191" s="7"/>
      <c r="K191" s="6">
        <f t="shared" si="11"/>
        <v>0</v>
      </c>
      <c r="L191" s="6">
        <f>'Invoice Data'!$B191+'Invoice Data'!$D191-'Invoice Data'!$G191-'Invoice Data'!$K191+'Invoice Data'!$H191</f>
        <v>3996</v>
      </c>
      <c r="M191" s="6" t="e">
        <f>VLOOKUP('Invoice Data'!$A191,BPay!$B$4:$D$10,3,0)</f>
        <v>#N/A</v>
      </c>
      <c r="N191" s="8"/>
    </row>
    <row r="192" spans="1:14" x14ac:dyDescent="0.3">
      <c r="A192" s="12">
        <v>32211</v>
      </c>
      <c r="B192" s="6">
        <v>0</v>
      </c>
      <c r="C192" s="7"/>
      <c r="D192" s="6">
        <v>8581</v>
      </c>
      <c r="E192" s="7">
        <v>2</v>
      </c>
      <c r="F192" s="7" t="str">
        <f t="shared" si="8"/>
        <v>Y</v>
      </c>
      <c r="G192" s="6">
        <f t="shared" si="9"/>
        <v>429.05</v>
      </c>
      <c r="H192" s="6">
        <f t="shared" si="10"/>
        <v>0</v>
      </c>
      <c r="I192" s="7">
        <v>7</v>
      </c>
      <c r="J192" s="7"/>
      <c r="K192" s="6">
        <f t="shared" si="11"/>
        <v>0</v>
      </c>
      <c r="L192" s="6">
        <f>'Invoice Data'!$B192+'Invoice Data'!$D192-'Invoice Data'!$G192-'Invoice Data'!$K192+'Invoice Data'!$H192</f>
        <v>8151.95</v>
      </c>
      <c r="M192" s="6" t="e">
        <f>VLOOKUP('Invoice Data'!$A192,BPay!$B$4:$D$10,3,0)</f>
        <v>#N/A</v>
      </c>
      <c r="N192" s="8"/>
    </row>
    <row r="193" spans="1:14" x14ac:dyDescent="0.3">
      <c r="A193" s="12">
        <v>32220</v>
      </c>
      <c r="B193" s="6">
        <v>0</v>
      </c>
      <c r="C193" s="7"/>
      <c r="D193" s="6">
        <v>3680</v>
      </c>
      <c r="E193" s="7">
        <v>1</v>
      </c>
      <c r="F193" s="7" t="str">
        <f t="shared" si="8"/>
        <v/>
      </c>
      <c r="G193" s="6">
        <f t="shared" si="9"/>
        <v>0</v>
      </c>
      <c r="H193" s="6">
        <f t="shared" si="10"/>
        <v>0</v>
      </c>
      <c r="I193" s="7">
        <v>12</v>
      </c>
      <c r="J193" s="7"/>
      <c r="K193" s="6">
        <f t="shared" si="11"/>
        <v>0</v>
      </c>
      <c r="L193" s="6">
        <f>'Invoice Data'!$B193+'Invoice Data'!$D193-'Invoice Data'!$G193-'Invoice Data'!$K193+'Invoice Data'!$H193</f>
        <v>3680</v>
      </c>
      <c r="M193" s="6" t="e">
        <f>VLOOKUP('Invoice Data'!$A193,BPay!$B$4:$D$10,3,0)</f>
        <v>#N/A</v>
      </c>
      <c r="N193" s="8"/>
    </row>
    <row r="194" spans="1:14" x14ac:dyDescent="0.3">
      <c r="A194" s="12">
        <v>32239</v>
      </c>
      <c r="B194" s="6">
        <v>3450</v>
      </c>
      <c r="C194" s="7"/>
      <c r="D194" s="6">
        <v>8608</v>
      </c>
      <c r="E194" s="7">
        <v>2</v>
      </c>
      <c r="F194" s="7" t="str">
        <f t="shared" si="8"/>
        <v>Y</v>
      </c>
      <c r="G194" s="6">
        <f t="shared" si="9"/>
        <v>430.40000000000003</v>
      </c>
      <c r="H194" s="6">
        <f t="shared" si="10"/>
        <v>345</v>
      </c>
      <c r="I194" s="7">
        <v>13</v>
      </c>
      <c r="J194" s="7"/>
      <c r="K194" s="6">
        <f t="shared" si="11"/>
        <v>0</v>
      </c>
      <c r="L194" s="6">
        <f>'Invoice Data'!$B194+'Invoice Data'!$D194-'Invoice Data'!$G194-'Invoice Data'!$K194+'Invoice Data'!$H194</f>
        <v>11972.6</v>
      </c>
      <c r="M194" s="6" t="e">
        <f>VLOOKUP('Invoice Data'!$A194,BPay!$B$4:$D$10,3,0)</f>
        <v>#N/A</v>
      </c>
      <c r="N194" s="8"/>
    </row>
    <row r="195" spans="1:14" x14ac:dyDescent="0.3">
      <c r="A195" s="12">
        <v>32248</v>
      </c>
      <c r="B195" s="6">
        <v>0</v>
      </c>
      <c r="C195" s="7"/>
      <c r="D195" s="6">
        <v>4748</v>
      </c>
      <c r="E195" s="7">
        <v>1</v>
      </c>
      <c r="F195" s="7" t="str">
        <f t="shared" si="8"/>
        <v/>
      </c>
      <c r="G195" s="6">
        <f t="shared" si="9"/>
        <v>0</v>
      </c>
      <c r="H195" s="6">
        <f t="shared" si="10"/>
        <v>0</v>
      </c>
      <c r="I195" s="7">
        <v>16</v>
      </c>
      <c r="J195" s="7"/>
      <c r="K195" s="6">
        <f t="shared" si="11"/>
        <v>250</v>
      </c>
      <c r="L195" s="6">
        <f>'Invoice Data'!$B195+'Invoice Data'!$D195-'Invoice Data'!$G195-'Invoice Data'!$K195+'Invoice Data'!$H195</f>
        <v>4498</v>
      </c>
      <c r="M195" s="6" t="e">
        <f>VLOOKUP('Invoice Data'!$A195,BPay!$B$4:$D$10,3,0)</f>
        <v>#N/A</v>
      </c>
      <c r="N195" s="8"/>
    </row>
    <row r="196" spans="1:14" x14ac:dyDescent="0.3">
      <c r="A196" s="12">
        <v>32257</v>
      </c>
      <c r="B196" s="6">
        <v>0</v>
      </c>
      <c r="C196" s="7"/>
      <c r="D196" s="6">
        <v>9572</v>
      </c>
      <c r="E196" s="7">
        <v>2</v>
      </c>
      <c r="F196" s="7" t="str">
        <f t="shared" si="8"/>
        <v>Y</v>
      </c>
      <c r="G196" s="6">
        <f t="shared" si="9"/>
        <v>478.6</v>
      </c>
      <c r="H196" s="6">
        <f t="shared" si="10"/>
        <v>0</v>
      </c>
      <c r="I196" s="7">
        <v>7</v>
      </c>
      <c r="J196" s="7"/>
      <c r="K196" s="6">
        <f t="shared" si="11"/>
        <v>0</v>
      </c>
      <c r="L196" s="6">
        <f>'Invoice Data'!$B196+'Invoice Data'!$D196-'Invoice Data'!$G196-'Invoice Data'!$K196+'Invoice Data'!$H196</f>
        <v>9093.4</v>
      </c>
      <c r="M196" s="6" t="e">
        <f>VLOOKUP('Invoice Data'!$A196,BPay!$B$4:$D$10,3,0)</f>
        <v>#N/A</v>
      </c>
      <c r="N196" s="8"/>
    </row>
    <row r="197" spans="1:14" x14ac:dyDescent="0.3">
      <c r="A197" s="12">
        <v>32266</v>
      </c>
      <c r="B197" s="6">
        <v>0</v>
      </c>
      <c r="C197" s="7"/>
      <c r="D197" s="6">
        <v>5072</v>
      </c>
      <c r="E197" s="7">
        <v>1</v>
      </c>
      <c r="F197" s="7" t="str">
        <f t="shared" si="8"/>
        <v/>
      </c>
      <c r="G197" s="6">
        <f t="shared" si="9"/>
        <v>0</v>
      </c>
      <c r="H197" s="6">
        <f t="shared" si="10"/>
        <v>0</v>
      </c>
      <c r="I197" s="7">
        <v>13</v>
      </c>
      <c r="J197" s="7"/>
      <c r="K197" s="6">
        <f t="shared" si="11"/>
        <v>0</v>
      </c>
      <c r="L197" s="6">
        <f>'Invoice Data'!$B197+'Invoice Data'!$D197-'Invoice Data'!$G197-'Invoice Data'!$K197+'Invoice Data'!$H197</f>
        <v>5072</v>
      </c>
      <c r="M197" s="6" t="e">
        <f>VLOOKUP('Invoice Data'!$A197,BPay!$B$4:$D$10,3,0)</f>
        <v>#N/A</v>
      </c>
      <c r="N197" s="8"/>
    </row>
    <row r="198" spans="1:14" x14ac:dyDescent="0.3">
      <c r="A198" s="12">
        <v>32275</v>
      </c>
      <c r="B198" s="6">
        <v>0</v>
      </c>
      <c r="C198" s="7"/>
      <c r="D198" s="6">
        <v>7359</v>
      </c>
      <c r="E198" s="7">
        <v>2</v>
      </c>
      <c r="F198" s="7" t="str">
        <f t="shared" si="8"/>
        <v>Y</v>
      </c>
      <c r="G198" s="6">
        <f t="shared" si="9"/>
        <v>367.95000000000005</v>
      </c>
      <c r="H198" s="6">
        <f t="shared" si="10"/>
        <v>0</v>
      </c>
      <c r="I198" s="7">
        <v>5</v>
      </c>
      <c r="J198" s="7"/>
      <c r="K198" s="6">
        <f t="shared" si="11"/>
        <v>0</v>
      </c>
      <c r="L198" s="6">
        <f>'Invoice Data'!$B198+'Invoice Data'!$D198-'Invoice Data'!$G198-'Invoice Data'!$K198+'Invoice Data'!$H198</f>
        <v>6991.05</v>
      </c>
      <c r="M198" s="6" t="e">
        <f>VLOOKUP('Invoice Data'!$A198,BPay!$B$4:$D$10,3,0)</f>
        <v>#N/A</v>
      </c>
      <c r="N198" s="8"/>
    </row>
    <row r="199" spans="1:14" x14ac:dyDescent="0.3">
      <c r="A199" s="12">
        <v>32284</v>
      </c>
      <c r="B199" s="6">
        <v>0</v>
      </c>
      <c r="C199" s="7"/>
      <c r="D199" s="6">
        <v>3523</v>
      </c>
      <c r="E199" s="7">
        <v>1</v>
      </c>
      <c r="F199" s="7" t="str">
        <f t="shared" si="8"/>
        <v/>
      </c>
      <c r="G199" s="6">
        <f t="shared" si="9"/>
        <v>0</v>
      </c>
      <c r="H199" s="6">
        <f t="shared" si="10"/>
        <v>0</v>
      </c>
      <c r="I199" s="7">
        <v>9</v>
      </c>
      <c r="J199" s="7"/>
      <c r="K199" s="6">
        <f t="shared" si="11"/>
        <v>0</v>
      </c>
      <c r="L199" s="6">
        <f>'Invoice Data'!$B199+'Invoice Data'!$D199-'Invoice Data'!$G199-'Invoice Data'!$K199+'Invoice Data'!$H199</f>
        <v>3523</v>
      </c>
      <c r="M199" s="6" t="e">
        <f>VLOOKUP('Invoice Data'!$A199,BPay!$B$4:$D$10,3,0)</f>
        <v>#N/A</v>
      </c>
      <c r="N199" s="8"/>
    </row>
    <row r="200" spans="1:14" x14ac:dyDescent="0.3">
      <c r="A200" s="12">
        <v>32293</v>
      </c>
      <c r="B200" s="6">
        <v>0</v>
      </c>
      <c r="C200" s="7"/>
      <c r="D200" s="6">
        <v>6682</v>
      </c>
      <c r="E200" s="7">
        <v>2</v>
      </c>
      <c r="F200" s="7" t="str">
        <f t="shared" si="8"/>
        <v>Y</v>
      </c>
      <c r="G200" s="6">
        <f t="shared" si="9"/>
        <v>334.1</v>
      </c>
      <c r="H200" s="6">
        <f t="shared" si="10"/>
        <v>0</v>
      </c>
      <c r="I200" s="7">
        <v>12</v>
      </c>
      <c r="J200" s="7"/>
      <c r="K200" s="6">
        <f t="shared" si="11"/>
        <v>0</v>
      </c>
      <c r="L200" s="6">
        <f>'Invoice Data'!$B200+'Invoice Data'!$D200-'Invoice Data'!$G200-'Invoice Data'!$K200+'Invoice Data'!$H200</f>
        <v>6347.9</v>
      </c>
      <c r="M200" s="6" t="e">
        <f>VLOOKUP('Invoice Data'!$A200,BPay!$B$4:$D$10,3,0)</f>
        <v>#N/A</v>
      </c>
      <c r="N200" s="8"/>
    </row>
    <row r="201" spans="1:14" x14ac:dyDescent="0.3">
      <c r="A201" s="12">
        <v>32300</v>
      </c>
      <c r="B201" s="6">
        <v>0</v>
      </c>
      <c r="C201" s="7"/>
      <c r="D201" s="6">
        <v>9997</v>
      </c>
      <c r="E201" s="7">
        <v>2</v>
      </c>
      <c r="F201" s="7" t="str">
        <f t="shared" ref="F201:F264" si="12">IF(E201&gt;=2,"Y", "")</f>
        <v>Y</v>
      </c>
      <c r="G201" s="6">
        <f t="shared" ref="G201:G264" si="13">IF(F201="y",D201*5%,0)</f>
        <v>499.85</v>
      </c>
      <c r="H201" s="6">
        <f t="shared" ref="H201:H264" si="14">IF(AND(B201&gt;0,C201&lt;&gt;"Y"),B201*10%,0)</f>
        <v>0</v>
      </c>
      <c r="I201" s="7">
        <v>4</v>
      </c>
      <c r="J201" s="7"/>
      <c r="K201" s="6">
        <f t="shared" ref="K201:K264" si="15">IF(OR(I201&gt;=16,J201),250,0)</f>
        <v>0</v>
      </c>
      <c r="L201" s="6">
        <f>'Invoice Data'!$B201+'Invoice Data'!$D201-'Invoice Data'!$G201-'Invoice Data'!$K201+'Invoice Data'!$H201</f>
        <v>9497.15</v>
      </c>
      <c r="M201" s="6" t="e">
        <f>VLOOKUP('Invoice Data'!$A201,BPay!$B$4:$D$10,3,0)</f>
        <v>#N/A</v>
      </c>
      <c r="N201" s="8"/>
    </row>
    <row r="202" spans="1:14" x14ac:dyDescent="0.3">
      <c r="A202" s="12">
        <v>32319</v>
      </c>
      <c r="B202" s="6">
        <v>0</v>
      </c>
      <c r="C202" s="7"/>
      <c r="D202" s="6">
        <v>10402</v>
      </c>
      <c r="E202" s="7">
        <v>2</v>
      </c>
      <c r="F202" s="7" t="str">
        <f t="shared" si="12"/>
        <v>Y</v>
      </c>
      <c r="G202" s="6">
        <f t="shared" si="13"/>
        <v>520.1</v>
      </c>
      <c r="H202" s="6">
        <f t="shared" si="14"/>
        <v>0</v>
      </c>
      <c r="I202" s="7">
        <v>0</v>
      </c>
      <c r="J202" s="7"/>
      <c r="K202" s="6">
        <f t="shared" si="15"/>
        <v>0</v>
      </c>
      <c r="L202" s="6">
        <f>'Invoice Data'!$B202+'Invoice Data'!$D202-'Invoice Data'!$G202-'Invoice Data'!$K202+'Invoice Data'!$H202</f>
        <v>9881.9</v>
      </c>
      <c r="M202" s="6" t="e">
        <f>VLOOKUP('Invoice Data'!$A202,BPay!$B$4:$D$10,3,0)</f>
        <v>#N/A</v>
      </c>
      <c r="N202" s="8"/>
    </row>
    <row r="203" spans="1:14" x14ac:dyDescent="0.3">
      <c r="A203" s="12">
        <v>32328</v>
      </c>
      <c r="B203" s="6">
        <v>0</v>
      </c>
      <c r="C203" s="7"/>
      <c r="D203" s="6">
        <v>11053</v>
      </c>
      <c r="E203" s="7">
        <v>3</v>
      </c>
      <c r="F203" s="7" t="str">
        <f t="shared" si="12"/>
        <v>Y</v>
      </c>
      <c r="G203" s="6">
        <f t="shared" si="13"/>
        <v>552.65</v>
      </c>
      <c r="H203" s="6">
        <f t="shared" si="14"/>
        <v>0</v>
      </c>
      <c r="I203" s="7">
        <v>13</v>
      </c>
      <c r="J203" s="7"/>
      <c r="K203" s="6">
        <f t="shared" si="15"/>
        <v>0</v>
      </c>
      <c r="L203" s="6">
        <f>'Invoice Data'!$B203+'Invoice Data'!$D203-'Invoice Data'!$G203-'Invoice Data'!$K203+'Invoice Data'!$H203</f>
        <v>10500.35</v>
      </c>
      <c r="M203" s="6" t="e">
        <f>VLOOKUP('Invoice Data'!$A203,BPay!$B$4:$D$10,3,0)</f>
        <v>#N/A</v>
      </c>
      <c r="N203" s="8"/>
    </row>
    <row r="204" spans="1:14" x14ac:dyDescent="0.3">
      <c r="A204" s="12">
        <v>32337</v>
      </c>
      <c r="B204" s="6">
        <v>0</v>
      </c>
      <c r="C204" s="7"/>
      <c r="D204" s="6">
        <v>9201</v>
      </c>
      <c r="E204" s="7">
        <v>2</v>
      </c>
      <c r="F204" s="7" t="str">
        <f t="shared" si="12"/>
        <v>Y</v>
      </c>
      <c r="G204" s="6">
        <f t="shared" si="13"/>
        <v>460.05</v>
      </c>
      <c r="H204" s="6">
        <f t="shared" si="14"/>
        <v>0</v>
      </c>
      <c r="I204" s="7">
        <v>7</v>
      </c>
      <c r="J204" s="7"/>
      <c r="K204" s="6">
        <f t="shared" si="15"/>
        <v>0</v>
      </c>
      <c r="L204" s="6">
        <f>'Invoice Data'!$B204+'Invoice Data'!$D204-'Invoice Data'!$G204-'Invoice Data'!$K204+'Invoice Data'!$H204</f>
        <v>8740.9500000000007</v>
      </c>
      <c r="M204" s="6" t="e">
        <f>VLOOKUP('Invoice Data'!$A204,BPay!$B$4:$D$10,3,0)</f>
        <v>#N/A</v>
      </c>
      <c r="N204" s="8"/>
    </row>
    <row r="205" spans="1:14" x14ac:dyDescent="0.3">
      <c r="A205" s="12">
        <v>32346</v>
      </c>
      <c r="B205" s="6">
        <v>0</v>
      </c>
      <c r="C205" s="7"/>
      <c r="D205" s="6">
        <v>4639</v>
      </c>
      <c r="E205" s="7">
        <v>1</v>
      </c>
      <c r="F205" s="7" t="str">
        <f t="shared" si="12"/>
        <v/>
      </c>
      <c r="G205" s="6">
        <f t="shared" si="13"/>
        <v>0</v>
      </c>
      <c r="H205" s="6">
        <f t="shared" si="14"/>
        <v>0</v>
      </c>
      <c r="I205" s="7">
        <v>9</v>
      </c>
      <c r="J205" s="7"/>
      <c r="K205" s="6">
        <f t="shared" si="15"/>
        <v>0</v>
      </c>
      <c r="L205" s="6">
        <f>'Invoice Data'!$B205+'Invoice Data'!$D205-'Invoice Data'!$G205-'Invoice Data'!$K205+'Invoice Data'!$H205</f>
        <v>4639</v>
      </c>
      <c r="M205" s="6" t="e">
        <f>VLOOKUP('Invoice Data'!$A205,BPay!$B$4:$D$10,3,0)</f>
        <v>#N/A</v>
      </c>
      <c r="N205" s="8"/>
    </row>
    <row r="206" spans="1:14" x14ac:dyDescent="0.3">
      <c r="A206" s="12">
        <v>32355</v>
      </c>
      <c r="B206" s="6">
        <v>0</v>
      </c>
      <c r="C206" s="7"/>
      <c r="D206" s="6">
        <v>3675</v>
      </c>
      <c r="E206" s="7">
        <v>1</v>
      </c>
      <c r="F206" s="7" t="str">
        <f t="shared" si="12"/>
        <v/>
      </c>
      <c r="G206" s="6">
        <f t="shared" si="13"/>
        <v>0</v>
      </c>
      <c r="H206" s="6">
        <f t="shared" si="14"/>
        <v>0</v>
      </c>
      <c r="I206" s="7">
        <v>8</v>
      </c>
      <c r="J206" s="7"/>
      <c r="K206" s="6">
        <f t="shared" si="15"/>
        <v>0</v>
      </c>
      <c r="L206" s="6">
        <f>'Invoice Data'!$B206+'Invoice Data'!$D206-'Invoice Data'!$G206-'Invoice Data'!$K206+'Invoice Data'!$H206</f>
        <v>3675</v>
      </c>
      <c r="M206" s="6" t="e">
        <f>VLOOKUP('Invoice Data'!$A206,BPay!$B$4:$D$10,3,0)</f>
        <v>#N/A</v>
      </c>
      <c r="N206" s="8"/>
    </row>
    <row r="207" spans="1:14" x14ac:dyDescent="0.3">
      <c r="A207" s="12">
        <v>32364</v>
      </c>
      <c r="B207" s="6">
        <v>0</v>
      </c>
      <c r="C207" s="7"/>
      <c r="D207" s="6">
        <v>8320</v>
      </c>
      <c r="E207" s="7">
        <v>2</v>
      </c>
      <c r="F207" s="7" t="str">
        <f t="shared" si="12"/>
        <v>Y</v>
      </c>
      <c r="G207" s="6">
        <f t="shared" si="13"/>
        <v>416</v>
      </c>
      <c r="H207" s="6">
        <f t="shared" si="14"/>
        <v>0</v>
      </c>
      <c r="I207" s="7">
        <v>8</v>
      </c>
      <c r="J207" s="7"/>
      <c r="K207" s="6">
        <f t="shared" si="15"/>
        <v>0</v>
      </c>
      <c r="L207" s="6">
        <f>'Invoice Data'!$B207+'Invoice Data'!$D207-'Invoice Data'!$G207-'Invoice Data'!$K207+'Invoice Data'!$H207</f>
        <v>7904</v>
      </c>
      <c r="M207" s="6" t="e">
        <f>VLOOKUP('Invoice Data'!$A207,BPay!$B$4:$D$10,3,0)</f>
        <v>#N/A</v>
      </c>
      <c r="N207" s="8"/>
    </row>
    <row r="208" spans="1:14" x14ac:dyDescent="0.3">
      <c r="A208" s="12">
        <v>32373</v>
      </c>
      <c r="B208" s="6">
        <v>0</v>
      </c>
      <c r="C208" s="7"/>
      <c r="D208" s="6">
        <v>7610</v>
      </c>
      <c r="E208" s="7">
        <v>2</v>
      </c>
      <c r="F208" s="7" t="str">
        <f t="shared" si="12"/>
        <v>Y</v>
      </c>
      <c r="G208" s="6">
        <f t="shared" si="13"/>
        <v>380.5</v>
      </c>
      <c r="H208" s="6">
        <f t="shared" si="14"/>
        <v>0</v>
      </c>
      <c r="I208" s="7">
        <v>14</v>
      </c>
      <c r="J208" s="7"/>
      <c r="K208" s="6">
        <f t="shared" si="15"/>
        <v>0</v>
      </c>
      <c r="L208" s="6">
        <f>'Invoice Data'!$B208+'Invoice Data'!$D208-'Invoice Data'!$G208-'Invoice Data'!$K208+'Invoice Data'!$H208</f>
        <v>7229.5</v>
      </c>
      <c r="M208" s="6" t="e">
        <f>VLOOKUP('Invoice Data'!$A208,BPay!$B$4:$D$10,3,0)</f>
        <v>#N/A</v>
      </c>
      <c r="N208" s="8"/>
    </row>
    <row r="209" spans="1:14" x14ac:dyDescent="0.3">
      <c r="A209" s="12">
        <v>32382</v>
      </c>
      <c r="B209" s="6">
        <v>0</v>
      </c>
      <c r="C209" s="7"/>
      <c r="D209" s="6">
        <v>9147</v>
      </c>
      <c r="E209" s="7">
        <v>2</v>
      </c>
      <c r="F209" s="7" t="str">
        <f t="shared" si="12"/>
        <v>Y</v>
      </c>
      <c r="G209" s="6">
        <f t="shared" si="13"/>
        <v>457.35</v>
      </c>
      <c r="H209" s="6">
        <f t="shared" si="14"/>
        <v>0</v>
      </c>
      <c r="I209" s="7">
        <v>10</v>
      </c>
      <c r="J209" s="7"/>
      <c r="K209" s="6">
        <f t="shared" si="15"/>
        <v>0</v>
      </c>
      <c r="L209" s="6">
        <f>'Invoice Data'!$B209+'Invoice Data'!$D209-'Invoice Data'!$G209-'Invoice Data'!$K209+'Invoice Data'!$H209</f>
        <v>8689.65</v>
      </c>
      <c r="M209" s="6" t="e">
        <f>VLOOKUP('Invoice Data'!$A209,BPay!$B$4:$D$10,3,0)</f>
        <v>#N/A</v>
      </c>
      <c r="N209" s="8"/>
    </row>
    <row r="210" spans="1:14" x14ac:dyDescent="0.3">
      <c r="A210" s="12">
        <v>32391</v>
      </c>
      <c r="B210" s="6">
        <v>0</v>
      </c>
      <c r="C210" s="7"/>
      <c r="D210" s="6">
        <v>9058</v>
      </c>
      <c r="E210" s="7">
        <v>2</v>
      </c>
      <c r="F210" s="7" t="str">
        <f t="shared" si="12"/>
        <v>Y</v>
      </c>
      <c r="G210" s="6">
        <f t="shared" si="13"/>
        <v>452.90000000000003</v>
      </c>
      <c r="H210" s="6">
        <f t="shared" si="14"/>
        <v>0</v>
      </c>
      <c r="I210" s="7">
        <v>16</v>
      </c>
      <c r="J210" s="7"/>
      <c r="K210" s="6">
        <f t="shared" si="15"/>
        <v>250</v>
      </c>
      <c r="L210" s="6">
        <f>'Invoice Data'!$B210+'Invoice Data'!$D210-'Invoice Data'!$G210-'Invoice Data'!$K210+'Invoice Data'!$H210</f>
        <v>8355.1</v>
      </c>
      <c r="M210" s="6" t="e">
        <f>VLOOKUP('Invoice Data'!$A210,BPay!$B$4:$D$10,3,0)</f>
        <v>#N/A</v>
      </c>
      <c r="N210" s="8"/>
    </row>
    <row r="211" spans="1:14" x14ac:dyDescent="0.3">
      <c r="A211" s="12">
        <v>32408</v>
      </c>
      <c r="B211" s="6">
        <v>0</v>
      </c>
      <c r="C211" s="7"/>
      <c r="D211" s="6">
        <v>4375</v>
      </c>
      <c r="E211" s="7">
        <v>1</v>
      </c>
      <c r="F211" s="7" t="str">
        <f t="shared" si="12"/>
        <v/>
      </c>
      <c r="G211" s="6">
        <f t="shared" si="13"/>
        <v>0</v>
      </c>
      <c r="H211" s="6">
        <f t="shared" si="14"/>
        <v>0</v>
      </c>
      <c r="I211" s="7">
        <v>12</v>
      </c>
      <c r="J211" s="7"/>
      <c r="K211" s="6">
        <f t="shared" si="15"/>
        <v>0</v>
      </c>
      <c r="L211" s="6">
        <f>'Invoice Data'!$B211+'Invoice Data'!$D211-'Invoice Data'!$G211-'Invoice Data'!$K211+'Invoice Data'!$H211</f>
        <v>4375</v>
      </c>
      <c r="M211" s="6" t="e">
        <f>VLOOKUP('Invoice Data'!$A211,BPay!$B$4:$D$10,3,0)</f>
        <v>#N/A</v>
      </c>
      <c r="N211" s="8"/>
    </row>
    <row r="212" spans="1:14" x14ac:dyDescent="0.3">
      <c r="A212" s="12">
        <v>32417</v>
      </c>
      <c r="B212" s="6">
        <v>0</v>
      </c>
      <c r="C212" s="7"/>
      <c r="D212" s="6">
        <v>10163</v>
      </c>
      <c r="E212" s="7">
        <v>2</v>
      </c>
      <c r="F212" s="7" t="str">
        <f t="shared" si="12"/>
        <v>Y</v>
      </c>
      <c r="G212" s="6">
        <f t="shared" si="13"/>
        <v>508.15000000000003</v>
      </c>
      <c r="H212" s="6">
        <f t="shared" si="14"/>
        <v>0</v>
      </c>
      <c r="I212" s="7">
        <v>9</v>
      </c>
      <c r="J212" s="7"/>
      <c r="K212" s="6">
        <f t="shared" si="15"/>
        <v>0</v>
      </c>
      <c r="L212" s="6">
        <f>'Invoice Data'!$B212+'Invoice Data'!$D212-'Invoice Data'!$G212-'Invoice Data'!$K212+'Invoice Data'!$H212</f>
        <v>9654.85</v>
      </c>
      <c r="M212" s="6" t="e">
        <f>VLOOKUP('Invoice Data'!$A212,BPay!$B$4:$D$10,3,0)</f>
        <v>#N/A</v>
      </c>
      <c r="N212" s="8"/>
    </row>
    <row r="213" spans="1:14" x14ac:dyDescent="0.3">
      <c r="A213" s="12">
        <v>32426</v>
      </c>
      <c r="B213" s="6">
        <v>0</v>
      </c>
      <c r="C213" s="7"/>
      <c r="D213" s="6">
        <v>7870</v>
      </c>
      <c r="E213" s="7">
        <v>2</v>
      </c>
      <c r="F213" s="7" t="str">
        <f t="shared" si="12"/>
        <v>Y</v>
      </c>
      <c r="G213" s="6">
        <f t="shared" si="13"/>
        <v>393.5</v>
      </c>
      <c r="H213" s="6">
        <f t="shared" si="14"/>
        <v>0</v>
      </c>
      <c r="I213" s="7">
        <v>2</v>
      </c>
      <c r="J213" s="7"/>
      <c r="K213" s="6">
        <f t="shared" si="15"/>
        <v>0</v>
      </c>
      <c r="L213" s="6">
        <f>'Invoice Data'!$B213+'Invoice Data'!$D213-'Invoice Data'!$G213-'Invoice Data'!$K213+'Invoice Data'!$H213</f>
        <v>7476.5</v>
      </c>
      <c r="M213" s="6" t="e">
        <f>VLOOKUP('Invoice Data'!$A213,BPay!$B$4:$D$10,3,0)</f>
        <v>#N/A</v>
      </c>
      <c r="N213" s="8"/>
    </row>
    <row r="214" spans="1:14" x14ac:dyDescent="0.3">
      <c r="A214" s="12">
        <v>32435</v>
      </c>
      <c r="B214" s="6">
        <v>0</v>
      </c>
      <c r="C214" s="7"/>
      <c r="D214" s="6">
        <v>4796</v>
      </c>
      <c r="E214" s="7">
        <v>1</v>
      </c>
      <c r="F214" s="7" t="str">
        <f t="shared" si="12"/>
        <v/>
      </c>
      <c r="G214" s="6">
        <f t="shared" si="13"/>
        <v>0</v>
      </c>
      <c r="H214" s="6">
        <f t="shared" si="14"/>
        <v>0</v>
      </c>
      <c r="I214" s="7">
        <v>4</v>
      </c>
      <c r="J214" s="7"/>
      <c r="K214" s="6">
        <f t="shared" si="15"/>
        <v>0</v>
      </c>
      <c r="L214" s="6">
        <f>'Invoice Data'!$B214+'Invoice Data'!$D214-'Invoice Data'!$G214-'Invoice Data'!$K214+'Invoice Data'!$H214</f>
        <v>4796</v>
      </c>
      <c r="M214" s="6" t="e">
        <f>VLOOKUP('Invoice Data'!$A214,BPay!$B$4:$D$10,3,0)</f>
        <v>#N/A</v>
      </c>
      <c r="N214" s="8"/>
    </row>
    <row r="215" spans="1:14" x14ac:dyDescent="0.3">
      <c r="A215" s="12">
        <v>32444</v>
      </c>
      <c r="B215" s="6">
        <v>0</v>
      </c>
      <c r="C215" s="7"/>
      <c r="D215" s="6">
        <v>10132</v>
      </c>
      <c r="E215" s="7">
        <v>2</v>
      </c>
      <c r="F215" s="7" t="str">
        <f t="shared" si="12"/>
        <v>Y</v>
      </c>
      <c r="G215" s="6">
        <f t="shared" si="13"/>
        <v>506.6</v>
      </c>
      <c r="H215" s="6">
        <f t="shared" si="14"/>
        <v>0</v>
      </c>
      <c r="I215" s="7">
        <v>0</v>
      </c>
      <c r="J215" s="7"/>
      <c r="K215" s="6">
        <f t="shared" si="15"/>
        <v>0</v>
      </c>
      <c r="L215" s="6">
        <f>'Invoice Data'!$B215+'Invoice Data'!$D215-'Invoice Data'!$G215-'Invoice Data'!$K215+'Invoice Data'!$H215</f>
        <v>9625.4</v>
      </c>
      <c r="M215" s="6" t="e">
        <f>VLOOKUP('Invoice Data'!$A215,BPay!$B$4:$D$10,3,0)</f>
        <v>#N/A</v>
      </c>
      <c r="N215" s="8"/>
    </row>
    <row r="216" spans="1:14" x14ac:dyDescent="0.3">
      <c r="A216" s="12">
        <v>32453</v>
      </c>
      <c r="B216" s="6">
        <v>0</v>
      </c>
      <c r="C216" s="7"/>
      <c r="D216" s="6">
        <v>6945</v>
      </c>
      <c r="E216" s="7">
        <v>2</v>
      </c>
      <c r="F216" s="7" t="str">
        <f t="shared" si="12"/>
        <v>Y</v>
      </c>
      <c r="G216" s="6">
        <f t="shared" si="13"/>
        <v>347.25</v>
      </c>
      <c r="H216" s="6">
        <f t="shared" si="14"/>
        <v>0</v>
      </c>
      <c r="I216" s="7">
        <v>10</v>
      </c>
      <c r="J216" s="7"/>
      <c r="K216" s="6">
        <f t="shared" si="15"/>
        <v>0</v>
      </c>
      <c r="L216" s="6">
        <f>'Invoice Data'!$B216+'Invoice Data'!$D216-'Invoice Data'!$G216-'Invoice Data'!$K216+'Invoice Data'!$H216</f>
        <v>6597.75</v>
      </c>
      <c r="M216" s="6" t="e">
        <f>VLOOKUP('Invoice Data'!$A216,BPay!$B$4:$D$10,3,0)</f>
        <v>#N/A</v>
      </c>
      <c r="N216" s="8"/>
    </row>
    <row r="217" spans="1:14" x14ac:dyDescent="0.3">
      <c r="A217" s="12">
        <v>32462</v>
      </c>
      <c r="B217" s="6">
        <v>0</v>
      </c>
      <c r="C217" s="7"/>
      <c r="D217" s="6">
        <v>7338</v>
      </c>
      <c r="E217" s="7">
        <v>2</v>
      </c>
      <c r="F217" s="7" t="str">
        <f t="shared" si="12"/>
        <v>Y</v>
      </c>
      <c r="G217" s="6">
        <f t="shared" si="13"/>
        <v>366.90000000000003</v>
      </c>
      <c r="H217" s="6">
        <f t="shared" si="14"/>
        <v>0</v>
      </c>
      <c r="I217" s="7">
        <v>0</v>
      </c>
      <c r="J217" s="7"/>
      <c r="K217" s="6">
        <f t="shared" si="15"/>
        <v>0</v>
      </c>
      <c r="L217" s="6">
        <f>'Invoice Data'!$B217+'Invoice Data'!$D217-'Invoice Data'!$G217-'Invoice Data'!$K217+'Invoice Data'!$H217</f>
        <v>6971.1</v>
      </c>
      <c r="M217" s="6" t="e">
        <f>VLOOKUP('Invoice Data'!$A217,BPay!$B$4:$D$10,3,0)</f>
        <v>#N/A</v>
      </c>
      <c r="N217" s="8"/>
    </row>
    <row r="218" spans="1:14" x14ac:dyDescent="0.3">
      <c r="A218" s="12">
        <v>32471</v>
      </c>
      <c r="B218" s="6">
        <v>0</v>
      </c>
      <c r="C218" s="7"/>
      <c r="D218" s="6">
        <v>4473</v>
      </c>
      <c r="E218" s="7">
        <v>1</v>
      </c>
      <c r="F218" s="7" t="str">
        <f t="shared" si="12"/>
        <v/>
      </c>
      <c r="G218" s="6">
        <f t="shared" si="13"/>
        <v>0</v>
      </c>
      <c r="H218" s="6">
        <f t="shared" si="14"/>
        <v>0</v>
      </c>
      <c r="I218" s="7">
        <v>11</v>
      </c>
      <c r="J218" s="7"/>
      <c r="K218" s="6">
        <f t="shared" si="15"/>
        <v>0</v>
      </c>
      <c r="L218" s="6">
        <f>'Invoice Data'!$B218+'Invoice Data'!$D218-'Invoice Data'!$G218-'Invoice Data'!$K218+'Invoice Data'!$H218</f>
        <v>4473</v>
      </c>
      <c r="M218" s="6" t="e">
        <f>VLOOKUP('Invoice Data'!$A218,BPay!$B$4:$D$10,3,0)</f>
        <v>#N/A</v>
      </c>
      <c r="N218" s="8"/>
    </row>
    <row r="219" spans="1:14" x14ac:dyDescent="0.3">
      <c r="A219" s="12">
        <v>32480</v>
      </c>
      <c r="B219" s="6">
        <v>0</v>
      </c>
      <c r="C219" s="7"/>
      <c r="D219" s="6">
        <v>14541</v>
      </c>
      <c r="E219" s="7">
        <v>3</v>
      </c>
      <c r="F219" s="7" t="str">
        <f t="shared" si="12"/>
        <v>Y</v>
      </c>
      <c r="G219" s="6">
        <f t="shared" si="13"/>
        <v>727.05000000000007</v>
      </c>
      <c r="H219" s="6">
        <f t="shared" si="14"/>
        <v>0</v>
      </c>
      <c r="I219" s="7">
        <v>0</v>
      </c>
      <c r="J219" s="7"/>
      <c r="K219" s="6">
        <f t="shared" si="15"/>
        <v>0</v>
      </c>
      <c r="L219" s="6">
        <f>'Invoice Data'!$B219+'Invoice Data'!$D219-'Invoice Data'!$G219-'Invoice Data'!$K219+'Invoice Data'!$H219</f>
        <v>13813.95</v>
      </c>
      <c r="M219" s="6" t="e">
        <f>VLOOKUP('Invoice Data'!$A219,BPay!$B$4:$D$10,3,0)</f>
        <v>#N/A</v>
      </c>
      <c r="N219" s="8"/>
    </row>
    <row r="220" spans="1:14" x14ac:dyDescent="0.3">
      <c r="A220" s="12">
        <v>32514</v>
      </c>
      <c r="B220" s="6">
        <v>0</v>
      </c>
      <c r="C220" s="7"/>
      <c r="D220" s="6">
        <v>3983</v>
      </c>
      <c r="E220" s="7">
        <v>1</v>
      </c>
      <c r="F220" s="7" t="str">
        <f t="shared" si="12"/>
        <v/>
      </c>
      <c r="G220" s="6">
        <f t="shared" si="13"/>
        <v>0</v>
      </c>
      <c r="H220" s="6">
        <f t="shared" si="14"/>
        <v>0</v>
      </c>
      <c r="I220" s="7">
        <v>13</v>
      </c>
      <c r="J220" s="7"/>
      <c r="K220" s="6">
        <f t="shared" si="15"/>
        <v>0</v>
      </c>
      <c r="L220" s="6">
        <f>'Invoice Data'!$B220+'Invoice Data'!$D220-'Invoice Data'!$G220-'Invoice Data'!$K220+'Invoice Data'!$H220</f>
        <v>3983</v>
      </c>
      <c r="M220" s="6" t="e">
        <f>VLOOKUP('Invoice Data'!$A220,BPay!$B$4:$D$10,3,0)</f>
        <v>#N/A</v>
      </c>
      <c r="N220" s="8"/>
    </row>
    <row r="221" spans="1:14" x14ac:dyDescent="0.3">
      <c r="A221" s="12">
        <v>32523</v>
      </c>
      <c r="B221" s="6">
        <v>0</v>
      </c>
      <c r="C221" s="7"/>
      <c r="D221" s="6">
        <v>7547</v>
      </c>
      <c r="E221" s="7">
        <v>2</v>
      </c>
      <c r="F221" s="7" t="str">
        <f t="shared" si="12"/>
        <v>Y</v>
      </c>
      <c r="G221" s="6">
        <f t="shared" si="13"/>
        <v>377.35</v>
      </c>
      <c r="H221" s="6">
        <f t="shared" si="14"/>
        <v>0</v>
      </c>
      <c r="I221" s="7">
        <v>3</v>
      </c>
      <c r="J221" s="7"/>
      <c r="K221" s="6">
        <f t="shared" si="15"/>
        <v>0</v>
      </c>
      <c r="L221" s="6">
        <f>'Invoice Data'!$B221+'Invoice Data'!$D221-'Invoice Data'!$G221-'Invoice Data'!$K221+'Invoice Data'!$H221</f>
        <v>7169.65</v>
      </c>
      <c r="M221" s="6" t="e">
        <f>VLOOKUP('Invoice Data'!$A221,BPay!$B$4:$D$10,3,0)</f>
        <v>#N/A</v>
      </c>
      <c r="N221" s="8"/>
    </row>
    <row r="222" spans="1:14" x14ac:dyDescent="0.3">
      <c r="A222" s="12">
        <v>32550</v>
      </c>
      <c r="B222" s="6">
        <v>0</v>
      </c>
      <c r="C222" s="7"/>
      <c r="D222" s="6">
        <v>7500</v>
      </c>
      <c r="E222" s="7">
        <v>2</v>
      </c>
      <c r="F222" s="7" t="str">
        <f t="shared" si="12"/>
        <v>Y</v>
      </c>
      <c r="G222" s="6">
        <f t="shared" si="13"/>
        <v>375</v>
      </c>
      <c r="H222" s="6">
        <f t="shared" si="14"/>
        <v>0</v>
      </c>
      <c r="I222" s="7">
        <v>16</v>
      </c>
      <c r="J222" s="7"/>
      <c r="K222" s="6">
        <f t="shared" si="15"/>
        <v>250</v>
      </c>
      <c r="L222" s="6">
        <f>'Invoice Data'!$B222+'Invoice Data'!$D222-'Invoice Data'!$G222-'Invoice Data'!$K222+'Invoice Data'!$H222</f>
        <v>6875</v>
      </c>
      <c r="M222" s="6" t="e">
        <f>VLOOKUP('Invoice Data'!$A222,BPay!$B$4:$D$10,3,0)</f>
        <v>#N/A</v>
      </c>
      <c r="N222" s="8"/>
    </row>
    <row r="223" spans="1:14" x14ac:dyDescent="0.3">
      <c r="A223" s="12">
        <v>32569</v>
      </c>
      <c r="B223" s="6">
        <v>0</v>
      </c>
      <c r="C223" s="7"/>
      <c r="D223" s="6">
        <v>3306</v>
      </c>
      <c r="E223" s="7">
        <v>1</v>
      </c>
      <c r="F223" s="7" t="str">
        <f t="shared" si="12"/>
        <v/>
      </c>
      <c r="G223" s="6">
        <f t="shared" si="13"/>
        <v>0</v>
      </c>
      <c r="H223" s="6">
        <f t="shared" si="14"/>
        <v>0</v>
      </c>
      <c r="I223" s="7">
        <v>9</v>
      </c>
      <c r="J223" s="7"/>
      <c r="K223" s="6">
        <f t="shared" si="15"/>
        <v>0</v>
      </c>
      <c r="L223" s="6">
        <f>'Invoice Data'!$B223+'Invoice Data'!$D223-'Invoice Data'!$G223-'Invoice Data'!$K223+'Invoice Data'!$H223</f>
        <v>3306</v>
      </c>
      <c r="M223" s="6" t="e">
        <f>VLOOKUP('Invoice Data'!$A223,BPay!$B$4:$D$10,3,0)</f>
        <v>#N/A</v>
      </c>
      <c r="N223" s="8"/>
    </row>
    <row r="224" spans="1:14" x14ac:dyDescent="0.3">
      <c r="A224" s="12">
        <v>32578</v>
      </c>
      <c r="B224" s="6">
        <v>0</v>
      </c>
      <c r="C224" s="7"/>
      <c r="D224" s="6">
        <v>5216</v>
      </c>
      <c r="E224" s="7">
        <v>1</v>
      </c>
      <c r="F224" s="7" t="str">
        <f t="shared" si="12"/>
        <v/>
      </c>
      <c r="G224" s="6">
        <f t="shared" si="13"/>
        <v>0</v>
      </c>
      <c r="H224" s="6">
        <f t="shared" si="14"/>
        <v>0</v>
      </c>
      <c r="I224" s="7">
        <v>3</v>
      </c>
      <c r="J224" s="7"/>
      <c r="K224" s="6">
        <f t="shared" si="15"/>
        <v>0</v>
      </c>
      <c r="L224" s="6">
        <f>'Invoice Data'!$B224+'Invoice Data'!$D224-'Invoice Data'!$G224-'Invoice Data'!$K224+'Invoice Data'!$H224</f>
        <v>5216</v>
      </c>
      <c r="M224" s="6" t="e">
        <f>VLOOKUP('Invoice Data'!$A224,BPay!$B$4:$D$10,3,0)</f>
        <v>#N/A</v>
      </c>
      <c r="N224" s="8"/>
    </row>
    <row r="225" spans="1:14" x14ac:dyDescent="0.3">
      <c r="A225" s="12">
        <v>32587</v>
      </c>
      <c r="B225" s="6">
        <v>0</v>
      </c>
      <c r="C225" s="7"/>
      <c r="D225" s="6">
        <v>6295</v>
      </c>
      <c r="E225" s="7">
        <v>2</v>
      </c>
      <c r="F225" s="7" t="str">
        <f t="shared" si="12"/>
        <v>Y</v>
      </c>
      <c r="G225" s="6">
        <f t="shared" si="13"/>
        <v>314.75</v>
      </c>
      <c r="H225" s="6">
        <f t="shared" si="14"/>
        <v>0</v>
      </c>
      <c r="I225" s="7">
        <v>11</v>
      </c>
      <c r="J225" s="7"/>
      <c r="K225" s="6">
        <f t="shared" si="15"/>
        <v>0</v>
      </c>
      <c r="L225" s="6">
        <f>'Invoice Data'!$B225+'Invoice Data'!$D225-'Invoice Data'!$G225-'Invoice Data'!$K225+'Invoice Data'!$H225</f>
        <v>5980.25</v>
      </c>
      <c r="M225" s="6" t="e">
        <f>VLOOKUP('Invoice Data'!$A225,BPay!$B$4:$D$10,3,0)</f>
        <v>#N/A</v>
      </c>
      <c r="N225" s="8"/>
    </row>
    <row r="226" spans="1:14" x14ac:dyDescent="0.3">
      <c r="A226" s="12">
        <v>32596</v>
      </c>
      <c r="B226" s="6">
        <v>0</v>
      </c>
      <c r="C226" s="7"/>
      <c r="D226" s="6">
        <v>5009</v>
      </c>
      <c r="E226" s="7">
        <v>1</v>
      </c>
      <c r="F226" s="7" t="str">
        <f t="shared" si="12"/>
        <v/>
      </c>
      <c r="G226" s="6">
        <f t="shared" si="13"/>
        <v>0</v>
      </c>
      <c r="H226" s="6">
        <f t="shared" si="14"/>
        <v>0</v>
      </c>
      <c r="I226" s="7">
        <v>0</v>
      </c>
      <c r="J226" s="7"/>
      <c r="K226" s="6">
        <f t="shared" si="15"/>
        <v>0</v>
      </c>
      <c r="L226" s="6">
        <f>'Invoice Data'!$B226+'Invoice Data'!$D226-'Invoice Data'!$G226-'Invoice Data'!$K226+'Invoice Data'!$H226</f>
        <v>5009</v>
      </c>
      <c r="M226" s="6" t="e">
        <f>VLOOKUP('Invoice Data'!$A226,BPay!$B$4:$D$10,3,0)</f>
        <v>#N/A</v>
      </c>
      <c r="N226" s="8"/>
    </row>
    <row r="227" spans="1:14" x14ac:dyDescent="0.3">
      <c r="A227" s="12">
        <v>32603</v>
      </c>
      <c r="B227" s="6">
        <v>0</v>
      </c>
      <c r="C227" s="7"/>
      <c r="D227" s="6">
        <v>9060</v>
      </c>
      <c r="E227" s="7">
        <v>2</v>
      </c>
      <c r="F227" s="7" t="str">
        <f t="shared" si="12"/>
        <v>Y</v>
      </c>
      <c r="G227" s="6">
        <f t="shared" si="13"/>
        <v>453</v>
      </c>
      <c r="H227" s="6">
        <f t="shared" si="14"/>
        <v>0</v>
      </c>
      <c r="I227" s="7">
        <v>1</v>
      </c>
      <c r="J227" s="7"/>
      <c r="K227" s="6">
        <f t="shared" si="15"/>
        <v>0</v>
      </c>
      <c r="L227" s="6">
        <f>'Invoice Data'!$B227+'Invoice Data'!$D227-'Invoice Data'!$G227-'Invoice Data'!$K227+'Invoice Data'!$H227</f>
        <v>8607</v>
      </c>
      <c r="M227" s="6" t="e">
        <f>VLOOKUP('Invoice Data'!$A227,BPay!$B$4:$D$10,3,0)</f>
        <v>#N/A</v>
      </c>
      <c r="N227" s="8"/>
    </row>
    <row r="228" spans="1:14" x14ac:dyDescent="0.3">
      <c r="A228" s="12">
        <v>32612</v>
      </c>
      <c r="B228" s="6">
        <v>0</v>
      </c>
      <c r="C228" s="7"/>
      <c r="D228" s="6">
        <v>7485</v>
      </c>
      <c r="E228" s="7">
        <v>2</v>
      </c>
      <c r="F228" s="7" t="str">
        <f t="shared" si="12"/>
        <v>Y</v>
      </c>
      <c r="G228" s="6">
        <f t="shared" si="13"/>
        <v>374.25</v>
      </c>
      <c r="H228" s="6">
        <f t="shared" si="14"/>
        <v>0</v>
      </c>
      <c r="I228" s="7">
        <v>0</v>
      </c>
      <c r="J228" s="7" t="b">
        <v>1</v>
      </c>
      <c r="K228" s="6">
        <f t="shared" si="15"/>
        <v>250</v>
      </c>
      <c r="L228" s="6">
        <f>'Invoice Data'!$B228+'Invoice Data'!$D228-'Invoice Data'!$G228-'Invoice Data'!$K228+'Invoice Data'!$H228</f>
        <v>6860.75</v>
      </c>
      <c r="M228" s="6" t="e">
        <f>VLOOKUP('Invoice Data'!$A228,BPay!$B$4:$D$10,3,0)</f>
        <v>#N/A</v>
      </c>
      <c r="N228" s="8"/>
    </row>
    <row r="229" spans="1:14" x14ac:dyDescent="0.3">
      <c r="A229" s="12">
        <v>32621</v>
      </c>
      <c r="B229" s="6">
        <v>0</v>
      </c>
      <c r="C229" s="7"/>
      <c r="D229" s="6">
        <v>7290</v>
      </c>
      <c r="E229" s="7">
        <v>2</v>
      </c>
      <c r="F229" s="7" t="str">
        <f t="shared" si="12"/>
        <v>Y</v>
      </c>
      <c r="G229" s="6">
        <f t="shared" si="13"/>
        <v>364.5</v>
      </c>
      <c r="H229" s="6">
        <f t="shared" si="14"/>
        <v>0</v>
      </c>
      <c r="I229" s="7">
        <v>6</v>
      </c>
      <c r="J229" s="7"/>
      <c r="K229" s="6">
        <f t="shared" si="15"/>
        <v>0</v>
      </c>
      <c r="L229" s="6">
        <f>'Invoice Data'!$B229+'Invoice Data'!$D229-'Invoice Data'!$G229-'Invoice Data'!$K229+'Invoice Data'!$H229</f>
        <v>6925.5</v>
      </c>
      <c r="M229" s="6" t="e">
        <f>VLOOKUP('Invoice Data'!$A229,BPay!$B$4:$D$10,3,0)</f>
        <v>#N/A</v>
      </c>
      <c r="N229" s="8"/>
    </row>
    <row r="230" spans="1:14" x14ac:dyDescent="0.3">
      <c r="A230" s="12">
        <v>32630</v>
      </c>
      <c r="B230" s="6">
        <v>0</v>
      </c>
      <c r="C230" s="7"/>
      <c r="D230" s="6">
        <v>5263</v>
      </c>
      <c r="E230" s="7">
        <v>1</v>
      </c>
      <c r="F230" s="7" t="str">
        <f t="shared" si="12"/>
        <v/>
      </c>
      <c r="G230" s="6">
        <f t="shared" si="13"/>
        <v>0</v>
      </c>
      <c r="H230" s="6">
        <f t="shared" si="14"/>
        <v>0</v>
      </c>
      <c r="I230" s="7">
        <v>2</v>
      </c>
      <c r="J230" s="7"/>
      <c r="K230" s="6">
        <f t="shared" si="15"/>
        <v>0</v>
      </c>
      <c r="L230" s="6">
        <f>'Invoice Data'!$B230+'Invoice Data'!$D230-'Invoice Data'!$G230-'Invoice Data'!$K230+'Invoice Data'!$H230</f>
        <v>5263</v>
      </c>
      <c r="M230" s="6" t="e">
        <f>VLOOKUP('Invoice Data'!$A230,BPay!$B$4:$D$10,3,0)</f>
        <v>#N/A</v>
      </c>
      <c r="N230" s="8"/>
    </row>
    <row r="231" spans="1:14" x14ac:dyDescent="0.3">
      <c r="A231" s="12">
        <v>32649</v>
      </c>
      <c r="B231" s="6">
        <v>0</v>
      </c>
      <c r="C231" s="7"/>
      <c r="D231" s="6">
        <v>10464</v>
      </c>
      <c r="E231" s="7">
        <v>2</v>
      </c>
      <c r="F231" s="7" t="str">
        <f t="shared" si="12"/>
        <v>Y</v>
      </c>
      <c r="G231" s="6">
        <f t="shared" si="13"/>
        <v>523.20000000000005</v>
      </c>
      <c r="H231" s="6">
        <f t="shared" si="14"/>
        <v>0</v>
      </c>
      <c r="I231" s="7">
        <v>10</v>
      </c>
      <c r="J231" s="7"/>
      <c r="K231" s="6">
        <f t="shared" si="15"/>
        <v>0</v>
      </c>
      <c r="L231" s="6">
        <f>'Invoice Data'!$B231+'Invoice Data'!$D231-'Invoice Data'!$G231-'Invoice Data'!$K231+'Invoice Data'!$H231</f>
        <v>9940.7999999999993</v>
      </c>
      <c r="M231" s="6" t="e">
        <f>VLOOKUP('Invoice Data'!$A231,BPay!$B$4:$D$10,3,0)</f>
        <v>#N/A</v>
      </c>
      <c r="N231" s="8"/>
    </row>
    <row r="232" spans="1:14" x14ac:dyDescent="0.3">
      <c r="A232" s="12">
        <v>32658</v>
      </c>
      <c r="B232" s="6">
        <v>0</v>
      </c>
      <c r="C232" s="7"/>
      <c r="D232" s="6">
        <v>9659</v>
      </c>
      <c r="E232" s="7">
        <v>2</v>
      </c>
      <c r="F232" s="7" t="str">
        <f t="shared" si="12"/>
        <v>Y</v>
      </c>
      <c r="G232" s="6">
        <f t="shared" si="13"/>
        <v>482.95000000000005</v>
      </c>
      <c r="H232" s="6">
        <f t="shared" si="14"/>
        <v>0</v>
      </c>
      <c r="I232" s="7">
        <v>4</v>
      </c>
      <c r="J232" s="7"/>
      <c r="K232" s="6">
        <f t="shared" si="15"/>
        <v>0</v>
      </c>
      <c r="L232" s="6">
        <f>'Invoice Data'!$B232+'Invoice Data'!$D232-'Invoice Data'!$G232-'Invoice Data'!$K232+'Invoice Data'!$H232</f>
        <v>9176.0499999999993</v>
      </c>
      <c r="M232" s="6" t="e">
        <f>VLOOKUP('Invoice Data'!$A232,BPay!$B$4:$D$10,3,0)</f>
        <v>#N/A</v>
      </c>
      <c r="N232" s="8"/>
    </row>
    <row r="233" spans="1:14" x14ac:dyDescent="0.3">
      <c r="A233" s="12">
        <v>32667</v>
      </c>
      <c r="B233" s="6">
        <v>0</v>
      </c>
      <c r="C233" s="7"/>
      <c r="D233" s="6">
        <v>4420</v>
      </c>
      <c r="E233" s="7">
        <v>1</v>
      </c>
      <c r="F233" s="7" t="str">
        <f t="shared" si="12"/>
        <v/>
      </c>
      <c r="G233" s="6">
        <f t="shared" si="13"/>
        <v>0</v>
      </c>
      <c r="H233" s="6">
        <f t="shared" si="14"/>
        <v>0</v>
      </c>
      <c r="I233" s="7">
        <v>4</v>
      </c>
      <c r="J233" s="7"/>
      <c r="K233" s="6">
        <f t="shared" si="15"/>
        <v>0</v>
      </c>
      <c r="L233" s="6">
        <f>'Invoice Data'!$B233+'Invoice Data'!$D233-'Invoice Data'!$G233-'Invoice Data'!$K233+'Invoice Data'!$H233</f>
        <v>4420</v>
      </c>
      <c r="M233" s="6" t="e">
        <f>VLOOKUP('Invoice Data'!$A233,BPay!$B$4:$D$10,3,0)</f>
        <v>#N/A</v>
      </c>
      <c r="N233" s="8"/>
    </row>
    <row r="234" spans="1:14" x14ac:dyDescent="0.3">
      <c r="A234" s="12">
        <v>32676</v>
      </c>
      <c r="B234" s="6">
        <v>-1011</v>
      </c>
      <c r="C234" s="7" t="s">
        <v>7</v>
      </c>
      <c r="D234" s="6">
        <v>4155</v>
      </c>
      <c r="E234" s="7">
        <v>1</v>
      </c>
      <c r="F234" s="7" t="str">
        <f t="shared" si="12"/>
        <v/>
      </c>
      <c r="G234" s="6">
        <f t="shared" si="13"/>
        <v>0</v>
      </c>
      <c r="H234" s="6">
        <f t="shared" si="14"/>
        <v>0</v>
      </c>
      <c r="I234" s="7">
        <v>4</v>
      </c>
      <c r="J234" s="7"/>
      <c r="K234" s="6">
        <f t="shared" si="15"/>
        <v>0</v>
      </c>
      <c r="L234" s="6">
        <f>'Invoice Data'!$B234+'Invoice Data'!$D234-'Invoice Data'!$G234-'Invoice Data'!$K234+'Invoice Data'!$H234</f>
        <v>3144</v>
      </c>
      <c r="M234" s="6" t="e">
        <f>VLOOKUP('Invoice Data'!$A234,BPay!$B$4:$D$10,3,0)</f>
        <v>#N/A</v>
      </c>
      <c r="N234" s="8"/>
    </row>
    <row r="235" spans="1:14" x14ac:dyDescent="0.3">
      <c r="A235" s="12">
        <v>32694</v>
      </c>
      <c r="B235" s="6">
        <v>0</v>
      </c>
      <c r="C235" s="7"/>
      <c r="D235" s="6">
        <v>3241</v>
      </c>
      <c r="E235" s="7">
        <v>1</v>
      </c>
      <c r="F235" s="7" t="str">
        <f t="shared" si="12"/>
        <v/>
      </c>
      <c r="G235" s="6">
        <f t="shared" si="13"/>
        <v>0</v>
      </c>
      <c r="H235" s="6">
        <f t="shared" si="14"/>
        <v>0</v>
      </c>
      <c r="I235" s="7">
        <v>1</v>
      </c>
      <c r="J235" s="7"/>
      <c r="K235" s="6">
        <f t="shared" si="15"/>
        <v>0</v>
      </c>
      <c r="L235" s="6">
        <f>'Invoice Data'!$B235+'Invoice Data'!$D235-'Invoice Data'!$G235-'Invoice Data'!$K235+'Invoice Data'!$H235</f>
        <v>3241</v>
      </c>
      <c r="M235" s="6" t="e">
        <f>VLOOKUP('Invoice Data'!$A235,BPay!$B$4:$D$10,3,0)</f>
        <v>#N/A</v>
      </c>
      <c r="N235" s="8"/>
    </row>
    <row r="236" spans="1:14" x14ac:dyDescent="0.3">
      <c r="A236" s="12">
        <v>32701</v>
      </c>
      <c r="B236" s="6">
        <v>0</v>
      </c>
      <c r="C236" s="7"/>
      <c r="D236" s="6">
        <v>10020</v>
      </c>
      <c r="E236" s="7">
        <v>2</v>
      </c>
      <c r="F236" s="7" t="str">
        <f t="shared" si="12"/>
        <v>Y</v>
      </c>
      <c r="G236" s="6">
        <f t="shared" si="13"/>
        <v>501</v>
      </c>
      <c r="H236" s="6">
        <f t="shared" si="14"/>
        <v>0</v>
      </c>
      <c r="I236" s="7">
        <v>16</v>
      </c>
      <c r="J236" s="7"/>
      <c r="K236" s="6">
        <f t="shared" si="15"/>
        <v>250</v>
      </c>
      <c r="L236" s="6">
        <f>'Invoice Data'!$B236+'Invoice Data'!$D236-'Invoice Data'!$G236-'Invoice Data'!$K236+'Invoice Data'!$H236</f>
        <v>9269</v>
      </c>
      <c r="M236" s="6" t="e">
        <f>VLOOKUP('Invoice Data'!$A236,BPay!$B$4:$D$10,3,0)</f>
        <v>#N/A</v>
      </c>
      <c r="N236" s="8"/>
    </row>
    <row r="237" spans="1:14" x14ac:dyDescent="0.3">
      <c r="A237" s="12">
        <v>32710</v>
      </c>
      <c r="B237" s="6">
        <v>0</v>
      </c>
      <c r="C237" s="7"/>
      <c r="D237" s="6">
        <v>6865</v>
      </c>
      <c r="E237" s="7">
        <v>2</v>
      </c>
      <c r="F237" s="7" t="str">
        <f t="shared" si="12"/>
        <v>Y</v>
      </c>
      <c r="G237" s="6">
        <f t="shared" si="13"/>
        <v>343.25</v>
      </c>
      <c r="H237" s="6">
        <f t="shared" si="14"/>
        <v>0</v>
      </c>
      <c r="I237" s="7">
        <v>6</v>
      </c>
      <c r="J237" s="7"/>
      <c r="K237" s="6">
        <f t="shared" si="15"/>
        <v>0</v>
      </c>
      <c r="L237" s="6">
        <f>'Invoice Data'!$B237+'Invoice Data'!$D237-'Invoice Data'!$G237-'Invoice Data'!$K237+'Invoice Data'!$H237</f>
        <v>6521.75</v>
      </c>
      <c r="M237" s="6" t="e">
        <f>VLOOKUP('Invoice Data'!$A237,BPay!$B$4:$D$10,3,0)</f>
        <v>#N/A</v>
      </c>
      <c r="N237" s="8"/>
    </row>
    <row r="238" spans="1:14" x14ac:dyDescent="0.3">
      <c r="A238" s="12">
        <v>32729</v>
      </c>
      <c r="B238" s="6">
        <v>0</v>
      </c>
      <c r="C238" s="7"/>
      <c r="D238" s="6">
        <v>7404</v>
      </c>
      <c r="E238" s="7">
        <v>2</v>
      </c>
      <c r="F238" s="7" t="str">
        <f t="shared" si="12"/>
        <v>Y</v>
      </c>
      <c r="G238" s="6">
        <f t="shared" si="13"/>
        <v>370.20000000000005</v>
      </c>
      <c r="H238" s="6">
        <f t="shared" si="14"/>
        <v>0</v>
      </c>
      <c r="I238" s="7">
        <v>2</v>
      </c>
      <c r="J238" s="7"/>
      <c r="K238" s="6">
        <f t="shared" si="15"/>
        <v>0</v>
      </c>
      <c r="L238" s="6">
        <f>'Invoice Data'!$B238+'Invoice Data'!$D238-'Invoice Data'!$G238-'Invoice Data'!$K238+'Invoice Data'!$H238</f>
        <v>7033.8</v>
      </c>
      <c r="M238" s="6" t="e">
        <f>VLOOKUP('Invoice Data'!$A238,BPay!$B$4:$D$10,3,0)</f>
        <v>#N/A</v>
      </c>
      <c r="N238" s="8"/>
    </row>
    <row r="239" spans="1:14" x14ac:dyDescent="0.3">
      <c r="A239" s="12">
        <v>32738</v>
      </c>
      <c r="B239" s="6">
        <v>0</v>
      </c>
      <c r="C239" s="7"/>
      <c r="D239" s="6">
        <v>6752</v>
      </c>
      <c r="E239" s="7">
        <v>2</v>
      </c>
      <c r="F239" s="7" t="str">
        <f t="shared" si="12"/>
        <v>Y</v>
      </c>
      <c r="G239" s="6">
        <f t="shared" si="13"/>
        <v>337.6</v>
      </c>
      <c r="H239" s="6">
        <f t="shared" si="14"/>
        <v>0</v>
      </c>
      <c r="I239" s="7">
        <v>14</v>
      </c>
      <c r="J239" s="7"/>
      <c r="K239" s="6">
        <f t="shared" si="15"/>
        <v>0</v>
      </c>
      <c r="L239" s="6">
        <f>'Invoice Data'!$B239+'Invoice Data'!$D239-'Invoice Data'!$G239-'Invoice Data'!$K239+'Invoice Data'!$H239</f>
        <v>6414.4</v>
      </c>
      <c r="M239" s="6" t="e">
        <f>VLOOKUP('Invoice Data'!$A239,BPay!$B$4:$D$10,3,0)</f>
        <v>#N/A</v>
      </c>
      <c r="N239" s="8"/>
    </row>
    <row r="240" spans="1:14" x14ac:dyDescent="0.3">
      <c r="A240" s="12">
        <v>32747</v>
      </c>
      <c r="B240" s="6">
        <v>0</v>
      </c>
      <c r="C240" s="7"/>
      <c r="D240" s="6">
        <v>9491</v>
      </c>
      <c r="E240" s="7">
        <v>2</v>
      </c>
      <c r="F240" s="7" t="str">
        <f t="shared" si="12"/>
        <v>Y</v>
      </c>
      <c r="G240" s="6">
        <f t="shared" si="13"/>
        <v>474.55</v>
      </c>
      <c r="H240" s="6">
        <f t="shared" si="14"/>
        <v>0</v>
      </c>
      <c r="I240" s="7">
        <v>12</v>
      </c>
      <c r="J240" s="7"/>
      <c r="K240" s="6">
        <f t="shared" si="15"/>
        <v>0</v>
      </c>
      <c r="L240" s="6">
        <f>'Invoice Data'!$B240+'Invoice Data'!$D240-'Invoice Data'!$G240-'Invoice Data'!$K240+'Invoice Data'!$H240</f>
        <v>9016.4500000000007</v>
      </c>
      <c r="M240" s="6" t="e">
        <f>VLOOKUP('Invoice Data'!$A240,BPay!$B$4:$D$10,3,0)</f>
        <v>#N/A</v>
      </c>
      <c r="N240" s="8"/>
    </row>
    <row r="241" spans="1:14" x14ac:dyDescent="0.3">
      <c r="A241" s="12">
        <v>32756</v>
      </c>
      <c r="B241" s="6">
        <v>0</v>
      </c>
      <c r="C241" s="7"/>
      <c r="D241" s="6">
        <v>9967</v>
      </c>
      <c r="E241" s="7">
        <v>2</v>
      </c>
      <c r="F241" s="7" t="str">
        <f t="shared" si="12"/>
        <v>Y</v>
      </c>
      <c r="G241" s="6">
        <f t="shared" si="13"/>
        <v>498.35</v>
      </c>
      <c r="H241" s="6">
        <f t="shared" si="14"/>
        <v>0</v>
      </c>
      <c r="I241" s="7">
        <v>15</v>
      </c>
      <c r="J241" s="7"/>
      <c r="K241" s="6">
        <f t="shared" si="15"/>
        <v>0</v>
      </c>
      <c r="L241" s="6">
        <f>'Invoice Data'!$B241+'Invoice Data'!$D241-'Invoice Data'!$G241-'Invoice Data'!$K241+'Invoice Data'!$H241</f>
        <v>9468.65</v>
      </c>
      <c r="M241" s="6" t="e">
        <f>VLOOKUP('Invoice Data'!$A241,BPay!$B$4:$D$10,3,0)</f>
        <v>#N/A</v>
      </c>
      <c r="N241" s="8"/>
    </row>
    <row r="242" spans="1:14" x14ac:dyDescent="0.3">
      <c r="A242" s="12">
        <v>32765</v>
      </c>
      <c r="B242" s="6">
        <v>0</v>
      </c>
      <c r="C242" s="7"/>
      <c r="D242" s="6">
        <v>6986</v>
      </c>
      <c r="E242" s="7">
        <v>2</v>
      </c>
      <c r="F242" s="7" t="str">
        <f t="shared" si="12"/>
        <v>Y</v>
      </c>
      <c r="G242" s="6">
        <f t="shared" si="13"/>
        <v>349.3</v>
      </c>
      <c r="H242" s="6">
        <f t="shared" si="14"/>
        <v>0</v>
      </c>
      <c r="I242" s="7">
        <v>10</v>
      </c>
      <c r="J242" s="7"/>
      <c r="K242" s="6">
        <f t="shared" si="15"/>
        <v>0</v>
      </c>
      <c r="L242" s="6">
        <f>'Invoice Data'!$B242+'Invoice Data'!$D242-'Invoice Data'!$G242-'Invoice Data'!$K242+'Invoice Data'!$H242</f>
        <v>6636.7</v>
      </c>
      <c r="M242" s="6" t="e">
        <f>VLOOKUP('Invoice Data'!$A242,BPay!$B$4:$D$10,3,0)</f>
        <v>#N/A</v>
      </c>
      <c r="N242" s="8"/>
    </row>
    <row r="243" spans="1:14" x14ac:dyDescent="0.3">
      <c r="A243" s="12">
        <v>32774</v>
      </c>
      <c r="B243" s="6">
        <v>0</v>
      </c>
      <c r="C243" s="7"/>
      <c r="D243" s="6">
        <v>7973</v>
      </c>
      <c r="E243" s="7">
        <v>2</v>
      </c>
      <c r="F243" s="7" t="str">
        <f t="shared" si="12"/>
        <v>Y</v>
      </c>
      <c r="G243" s="6">
        <f t="shared" si="13"/>
        <v>398.65000000000003</v>
      </c>
      <c r="H243" s="6">
        <f t="shared" si="14"/>
        <v>0</v>
      </c>
      <c r="I243" s="7">
        <v>3</v>
      </c>
      <c r="J243" s="7"/>
      <c r="K243" s="6">
        <f t="shared" si="15"/>
        <v>0</v>
      </c>
      <c r="L243" s="6">
        <f>'Invoice Data'!$B243+'Invoice Data'!$D243-'Invoice Data'!$G243-'Invoice Data'!$K243+'Invoice Data'!$H243</f>
        <v>7574.35</v>
      </c>
      <c r="M243" s="6" t="e">
        <f>VLOOKUP('Invoice Data'!$A243,BPay!$B$4:$D$10,3,0)</f>
        <v>#N/A</v>
      </c>
      <c r="N243" s="8"/>
    </row>
    <row r="244" spans="1:14" x14ac:dyDescent="0.3">
      <c r="A244" s="12">
        <v>32783</v>
      </c>
      <c r="B244" s="6">
        <v>0</v>
      </c>
      <c r="C244" s="7"/>
      <c r="D244" s="6">
        <v>4722</v>
      </c>
      <c r="E244" s="7">
        <v>1</v>
      </c>
      <c r="F244" s="7" t="str">
        <f t="shared" si="12"/>
        <v/>
      </c>
      <c r="G244" s="6">
        <f t="shared" si="13"/>
        <v>0</v>
      </c>
      <c r="H244" s="6">
        <f t="shared" si="14"/>
        <v>0</v>
      </c>
      <c r="I244" s="7">
        <v>5</v>
      </c>
      <c r="J244" s="7"/>
      <c r="K244" s="6">
        <f t="shared" si="15"/>
        <v>0</v>
      </c>
      <c r="L244" s="6">
        <f>'Invoice Data'!$B244+'Invoice Data'!$D244-'Invoice Data'!$G244-'Invoice Data'!$K244+'Invoice Data'!$H244</f>
        <v>4722</v>
      </c>
      <c r="M244" s="6" t="e">
        <f>VLOOKUP('Invoice Data'!$A244,BPay!$B$4:$D$10,3,0)</f>
        <v>#N/A</v>
      </c>
      <c r="N244" s="8"/>
    </row>
    <row r="245" spans="1:14" x14ac:dyDescent="0.3">
      <c r="A245" s="12">
        <v>32792</v>
      </c>
      <c r="B245" s="6">
        <v>0</v>
      </c>
      <c r="C245" s="7"/>
      <c r="D245" s="6">
        <v>5585</v>
      </c>
      <c r="E245" s="7">
        <v>1</v>
      </c>
      <c r="F245" s="7" t="str">
        <f t="shared" si="12"/>
        <v/>
      </c>
      <c r="G245" s="6">
        <f t="shared" si="13"/>
        <v>0</v>
      </c>
      <c r="H245" s="6">
        <f t="shared" si="14"/>
        <v>0</v>
      </c>
      <c r="I245" s="7">
        <v>1</v>
      </c>
      <c r="J245" s="7"/>
      <c r="K245" s="6">
        <f t="shared" si="15"/>
        <v>0</v>
      </c>
      <c r="L245" s="6">
        <f>'Invoice Data'!$B245+'Invoice Data'!$D245-'Invoice Data'!$G245-'Invoice Data'!$K245+'Invoice Data'!$H245</f>
        <v>5585</v>
      </c>
      <c r="M245" s="6" t="e">
        <f>VLOOKUP('Invoice Data'!$A245,BPay!$B$4:$D$10,3,0)</f>
        <v>#N/A</v>
      </c>
      <c r="N245" s="8"/>
    </row>
    <row r="246" spans="1:14" x14ac:dyDescent="0.3">
      <c r="A246" s="12">
        <v>32809</v>
      </c>
      <c r="B246" s="6">
        <v>0</v>
      </c>
      <c r="C246" s="7"/>
      <c r="D246" s="6">
        <v>6477</v>
      </c>
      <c r="E246" s="7">
        <v>2</v>
      </c>
      <c r="F246" s="7" t="str">
        <f t="shared" si="12"/>
        <v>Y</v>
      </c>
      <c r="G246" s="6">
        <f t="shared" si="13"/>
        <v>323.85000000000002</v>
      </c>
      <c r="H246" s="6">
        <f t="shared" si="14"/>
        <v>0</v>
      </c>
      <c r="I246" s="7">
        <v>7</v>
      </c>
      <c r="J246" s="7"/>
      <c r="K246" s="6">
        <f t="shared" si="15"/>
        <v>0</v>
      </c>
      <c r="L246" s="6">
        <f>'Invoice Data'!$B246+'Invoice Data'!$D246-'Invoice Data'!$G246-'Invoice Data'!$K246+'Invoice Data'!$H246</f>
        <v>6153.15</v>
      </c>
      <c r="M246" s="6" t="e">
        <f>VLOOKUP('Invoice Data'!$A246,BPay!$B$4:$D$10,3,0)</f>
        <v>#N/A</v>
      </c>
      <c r="N246" s="8"/>
    </row>
    <row r="247" spans="1:14" x14ac:dyDescent="0.3">
      <c r="A247" s="12">
        <v>32818</v>
      </c>
      <c r="B247" s="6">
        <v>0</v>
      </c>
      <c r="C247" s="7"/>
      <c r="D247" s="6">
        <v>8855</v>
      </c>
      <c r="E247" s="7">
        <v>2</v>
      </c>
      <c r="F247" s="7" t="str">
        <f t="shared" si="12"/>
        <v>Y</v>
      </c>
      <c r="G247" s="6">
        <f t="shared" si="13"/>
        <v>442.75</v>
      </c>
      <c r="H247" s="6">
        <f t="shared" si="14"/>
        <v>0</v>
      </c>
      <c r="I247" s="7">
        <v>13</v>
      </c>
      <c r="J247" s="7"/>
      <c r="K247" s="6">
        <f t="shared" si="15"/>
        <v>0</v>
      </c>
      <c r="L247" s="6">
        <f>'Invoice Data'!$B247+'Invoice Data'!$D247-'Invoice Data'!$G247-'Invoice Data'!$K247+'Invoice Data'!$H247</f>
        <v>8412.25</v>
      </c>
      <c r="M247" s="6" t="e">
        <f>VLOOKUP('Invoice Data'!$A247,BPay!$B$4:$D$10,3,0)</f>
        <v>#N/A</v>
      </c>
      <c r="N247" s="8"/>
    </row>
    <row r="248" spans="1:14" x14ac:dyDescent="0.3">
      <c r="A248" s="12">
        <v>32827</v>
      </c>
      <c r="B248" s="6">
        <v>0</v>
      </c>
      <c r="C248" s="7"/>
      <c r="D248" s="6">
        <v>5175</v>
      </c>
      <c r="E248" s="7">
        <v>1</v>
      </c>
      <c r="F248" s="7" t="str">
        <f t="shared" si="12"/>
        <v/>
      </c>
      <c r="G248" s="6">
        <f t="shared" si="13"/>
        <v>0</v>
      </c>
      <c r="H248" s="6">
        <f t="shared" si="14"/>
        <v>0</v>
      </c>
      <c r="I248" s="7">
        <v>9</v>
      </c>
      <c r="J248" s="7"/>
      <c r="K248" s="6">
        <f t="shared" si="15"/>
        <v>0</v>
      </c>
      <c r="L248" s="6">
        <f>'Invoice Data'!$B248+'Invoice Data'!$D248-'Invoice Data'!$G248-'Invoice Data'!$K248+'Invoice Data'!$H248</f>
        <v>5175</v>
      </c>
      <c r="M248" s="6" t="e">
        <f>VLOOKUP('Invoice Data'!$A248,BPay!$B$4:$D$10,3,0)</f>
        <v>#N/A</v>
      </c>
      <c r="N248" s="8"/>
    </row>
    <row r="249" spans="1:14" x14ac:dyDescent="0.3">
      <c r="A249" s="12">
        <v>32836</v>
      </c>
      <c r="B249" s="6">
        <v>0</v>
      </c>
      <c r="C249" s="7"/>
      <c r="D249" s="6">
        <v>9024</v>
      </c>
      <c r="E249" s="7">
        <v>2</v>
      </c>
      <c r="F249" s="7" t="str">
        <f t="shared" si="12"/>
        <v>Y</v>
      </c>
      <c r="G249" s="6">
        <f t="shared" si="13"/>
        <v>451.20000000000005</v>
      </c>
      <c r="H249" s="6">
        <f t="shared" si="14"/>
        <v>0</v>
      </c>
      <c r="I249" s="7">
        <v>7</v>
      </c>
      <c r="J249" s="7"/>
      <c r="K249" s="6">
        <f t="shared" si="15"/>
        <v>0</v>
      </c>
      <c r="L249" s="6">
        <f>'Invoice Data'!$B249+'Invoice Data'!$D249-'Invoice Data'!$G249-'Invoice Data'!$K249+'Invoice Data'!$H249</f>
        <v>8572.7999999999993</v>
      </c>
      <c r="M249" s="6" t="e">
        <f>VLOOKUP('Invoice Data'!$A249,BPay!$B$4:$D$10,3,0)</f>
        <v>#N/A</v>
      </c>
      <c r="N249" s="8"/>
    </row>
    <row r="250" spans="1:14" x14ac:dyDescent="0.3">
      <c r="A250" s="12">
        <v>32845</v>
      </c>
      <c r="B250" s="6">
        <v>0</v>
      </c>
      <c r="C250" s="7"/>
      <c r="D250" s="6">
        <v>4679</v>
      </c>
      <c r="E250" s="7">
        <v>1</v>
      </c>
      <c r="F250" s="7" t="str">
        <f t="shared" si="12"/>
        <v/>
      </c>
      <c r="G250" s="6">
        <f t="shared" si="13"/>
        <v>0</v>
      </c>
      <c r="H250" s="6">
        <f t="shared" si="14"/>
        <v>0</v>
      </c>
      <c r="I250" s="7">
        <v>14</v>
      </c>
      <c r="J250" s="7"/>
      <c r="K250" s="6">
        <f t="shared" si="15"/>
        <v>0</v>
      </c>
      <c r="L250" s="6">
        <f>'Invoice Data'!$B250+'Invoice Data'!$D250-'Invoice Data'!$G250-'Invoice Data'!$K250+'Invoice Data'!$H250</f>
        <v>4679</v>
      </c>
      <c r="M250" s="6" t="e">
        <f>VLOOKUP('Invoice Data'!$A250,BPay!$B$4:$D$10,3,0)</f>
        <v>#N/A</v>
      </c>
      <c r="N250" s="8"/>
    </row>
    <row r="251" spans="1:14" x14ac:dyDescent="0.3">
      <c r="A251" s="12">
        <v>32854</v>
      </c>
      <c r="B251" s="6">
        <v>0</v>
      </c>
      <c r="C251" s="7"/>
      <c r="D251" s="6">
        <v>8746</v>
      </c>
      <c r="E251" s="7">
        <v>2</v>
      </c>
      <c r="F251" s="7" t="str">
        <f t="shared" si="12"/>
        <v>Y</v>
      </c>
      <c r="G251" s="6">
        <f t="shared" si="13"/>
        <v>437.3</v>
      </c>
      <c r="H251" s="6">
        <f t="shared" si="14"/>
        <v>0</v>
      </c>
      <c r="I251" s="7">
        <v>13</v>
      </c>
      <c r="J251" s="7"/>
      <c r="K251" s="6">
        <f t="shared" si="15"/>
        <v>0</v>
      </c>
      <c r="L251" s="6">
        <f>'Invoice Data'!$B251+'Invoice Data'!$D251-'Invoice Data'!$G251-'Invoice Data'!$K251+'Invoice Data'!$H251</f>
        <v>8308.7000000000007</v>
      </c>
      <c r="M251" s="6" t="e">
        <f>VLOOKUP('Invoice Data'!$A251,BPay!$B$4:$D$10,3,0)</f>
        <v>#N/A</v>
      </c>
      <c r="N251" s="8"/>
    </row>
    <row r="252" spans="1:14" x14ac:dyDescent="0.3">
      <c r="A252" s="12">
        <v>32863</v>
      </c>
      <c r="B252" s="6">
        <v>0</v>
      </c>
      <c r="C252" s="7"/>
      <c r="D252" s="6">
        <v>4445</v>
      </c>
      <c r="E252" s="7">
        <v>1</v>
      </c>
      <c r="F252" s="7" t="str">
        <f t="shared" si="12"/>
        <v/>
      </c>
      <c r="G252" s="6">
        <f t="shared" si="13"/>
        <v>0</v>
      </c>
      <c r="H252" s="6">
        <f t="shared" si="14"/>
        <v>0</v>
      </c>
      <c r="I252" s="7">
        <v>13</v>
      </c>
      <c r="J252" s="7"/>
      <c r="K252" s="6">
        <f t="shared" si="15"/>
        <v>0</v>
      </c>
      <c r="L252" s="6">
        <f>'Invoice Data'!$B252+'Invoice Data'!$D252-'Invoice Data'!$G252-'Invoice Data'!$K252+'Invoice Data'!$H252</f>
        <v>4445</v>
      </c>
      <c r="M252" s="6" t="e">
        <f>VLOOKUP('Invoice Data'!$A252,BPay!$B$4:$D$10,3,0)</f>
        <v>#N/A</v>
      </c>
      <c r="N252" s="8"/>
    </row>
    <row r="253" spans="1:14" x14ac:dyDescent="0.3">
      <c r="A253" s="12">
        <v>32872</v>
      </c>
      <c r="B253" s="6">
        <v>0</v>
      </c>
      <c r="C253" s="7"/>
      <c r="D253" s="6">
        <v>7306</v>
      </c>
      <c r="E253" s="7">
        <v>2</v>
      </c>
      <c r="F253" s="7" t="str">
        <f t="shared" si="12"/>
        <v>Y</v>
      </c>
      <c r="G253" s="6">
        <f t="shared" si="13"/>
        <v>365.3</v>
      </c>
      <c r="H253" s="6">
        <f t="shared" si="14"/>
        <v>0</v>
      </c>
      <c r="I253" s="7">
        <v>5</v>
      </c>
      <c r="J253" s="7"/>
      <c r="K253" s="6">
        <f t="shared" si="15"/>
        <v>0</v>
      </c>
      <c r="L253" s="6">
        <f>'Invoice Data'!$B253+'Invoice Data'!$D253-'Invoice Data'!$G253-'Invoice Data'!$K253+'Invoice Data'!$H253</f>
        <v>6940.7</v>
      </c>
      <c r="M253" s="6" t="e">
        <f>VLOOKUP('Invoice Data'!$A253,BPay!$B$4:$D$10,3,0)</f>
        <v>#N/A</v>
      </c>
      <c r="N253" s="8"/>
    </row>
    <row r="254" spans="1:14" x14ac:dyDescent="0.3">
      <c r="A254" s="12">
        <v>32881</v>
      </c>
      <c r="B254" s="6">
        <v>0</v>
      </c>
      <c r="C254" s="7"/>
      <c r="D254" s="6">
        <v>4117</v>
      </c>
      <c r="E254" s="7">
        <v>1</v>
      </c>
      <c r="F254" s="7" t="str">
        <f t="shared" si="12"/>
        <v/>
      </c>
      <c r="G254" s="6">
        <f t="shared" si="13"/>
        <v>0</v>
      </c>
      <c r="H254" s="6">
        <f t="shared" si="14"/>
        <v>0</v>
      </c>
      <c r="I254" s="7">
        <v>4</v>
      </c>
      <c r="J254" s="7"/>
      <c r="K254" s="6">
        <f t="shared" si="15"/>
        <v>0</v>
      </c>
      <c r="L254" s="6">
        <f>'Invoice Data'!$B254+'Invoice Data'!$D254-'Invoice Data'!$G254-'Invoice Data'!$K254+'Invoice Data'!$H254</f>
        <v>4117</v>
      </c>
      <c r="M254" s="6" t="e">
        <f>VLOOKUP('Invoice Data'!$A254,BPay!$B$4:$D$10,3,0)</f>
        <v>#N/A</v>
      </c>
      <c r="N254" s="8"/>
    </row>
    <row r="255" spans="1:14" x14ac:dyDescent="0.3">
      <c r="A255" s="12">
        <v>32890</v>
      </c>
      <c r="B255" s="6">
        <v>0</v>
      </c>
      <c r="C255" s="7"/>
      <c r="D255" s="6">
        <v>7715</v>
      </c>
      <c r="E255" s="7">
        <v>2</v>
      </c>
      <c r="F255" s="7" t="str">
        <f t="shared" si="12"/>
        <v>Y</v>
      </c>
      <c r="G255" s="6">
        <f t="shared" si="13"/>
        <v>385.75</v>
      </c>
      <c r="H255" s="6">
        <f t="shared" si="14"/>
        <v>0</v>
      </c>
      <c r="I255" s="7">
        <v>8</v>
      </c>
      <c r="J255" s="7"/>
      <c r="K255" s="6">
        <f t="shared" si="15"/>
        <v>0</v>
      </c>
      <c r="L255" s="6">
        <f>'Invoice Data'!$B255+'Invoice Data'!$D255-'Invoice Data'!$G255-'Invoice Data'!$K255+'Invoice Data'!$H255</f>
        <v>7329.25</v>
      </c>
      <c r="M255" s="6" t="e">
        <f>VLOOKUP('Invoice Data'!$A255,BPay!$B$4:$D$10,3,0)</f>
        <v>#N/A</v>
      </c>
      <c r="N255" s="8"/>
    </row>
    <row r="256" spans="1:14" x14ac:dyDescent="0.3">
      <c r="A256" s="12">
        <v>32907</v>
      </c>
      <c r="B256" s="6">
        <v>0</v>
      </c>
      <c r="C256" s="7"/>
      <c r="D256" s="6">
        <v>9458</v>
      </c>
      <c r="E256" s="7">
        <v>2</v>
      </c>
      <c r="F256" s="7" t="str">
        <f t="shared" si="12"/>
        <v>Y</v>
      </c>
      <c r="G256" s="6">
        <f t="shared" si="13"/>
        <v>472.90000000000003</v>
      </c>
      <c r="H256" s="6">
        <f t="shared" si="14"/>
        <v>0</v>
      </c>
      <c r="I256" s="7">
        <v>15</v>
      </c>
      <c r="J256" s="7"/>
      <c r="K256" s="6">
        <f t="shared" si="15"/>
        <v>0</v>
      </c>
      <c r="L256" s="6">
        <f>'Invoice Data'!$B256+'Invoice Data'!$D256-'Invoice Data'!$G256-'Invoice Data'!$K256+'Invoice Data'!$H256</f>
        <v>8985.1</v>
      </c>
      <c r="M256" s="6" t="e">
        <f>VLOOKUP('Invoice Data'!$A256,BPay!$B$4:$D$10,3,0)</f>
        <v>#N/A</v>
      </c>
      <c r="N256" s="8"/>
    </row>
    <row r="257" spans="1:14" x14ac:dyDescent="0.3">
      <c r="A257" s="12">
        <v>32916</v>
      </c>
      <c r="B257" s="6">
        <v>0</v>
      </c>
      <c r="C257" s="7"/>
      <c r="D257" s="6">
        <v>9824</v>
      </c>
      <c r="E257" s="7">
        <v>2</v>
      </c>
      <c r="F257" s="7" t="str">
        <f t="shared" si="12"/>
        <v>Y</v>
      </c>
      <c r="G257" s="6">
        <f t="shared" si="13"/>
        <v>491.20000000000005</v>
      </c>
      <c r="H257" s="6">
        <f t="shared" si="14"/>
        <v>0</v>
      </c>
      <c r="I257" s="7">
        <v>5</v>
      </c>
      <c r="J257" s="7"/>
      <c r="K257" s="6">
        <f t="shared" si="15"/>
        <v>0</v>
      </c>
      <c r="L257" s="6">
        <f>'Invoice Data'!$B257+'Invoice Data'!$D257-'Invoice Data'!$G257-'Invoice Data'!$K257+'Invoice Data'!$H257</f>
        <v>9332.7999999999993</v>
      </c>
      <c r="M257" s="6" t="e">
        <f>VLOOKUP('Invoice Data'!$A257,BPay!$B$4:$D$10,3,0)</f>
        <v>#N/A</v>
      </c>
      <c r="N257" s="8"/>
    </row>
    <row r="258" spans="1:14" x14ac:dyDescent="0.3">
      <c r="A258" s="12">
        <v>32925</v>
      </c>
      <c r="B258" s="6">
        <v>0</v>
      </c>
      <c r="C258" s="7"/>
      <c r="D258" s="6">
        <v>6381</v>
      </c>
      <c r="E258" s="7">
        <v>2</v>
      </c>
      <c r="F258" s="7" t="str">
        <f t="shared" si="12"/>
        <v>Y</v>
      </c>
      <c r="G258" s="6">
        <f t="shared" si="13"/>
        <v>319.05</v>
      </c>
      <c r="H258" s="6">
        <f t="shared" si="14"/>
        <v>0</v>
      </c>
      <c r="I258" s="7">
        <v>4</v>
      </c>
      <c r="J258" s="7"/>
      <c r="K258" s="6">
        <f t="shared" si="15"/>
        <v>0</v>
      </c>
      <c r="L258" s="6">
        <f>'Invoice Data'!$B258+'Invoice Data'!$D258-'Invoice Data'!$G258-'Invoice Data'!$K258+'Invoice Data'!$H258</f>
        <v>6061.95</v>
      </c>
      <c r="M258" s="6" t="e">
        <f>VLOOKUP('Invoice Data'!$A258,BPay!$B$4:$D$10,3,0)</f>
        <v>#N/A</v>
      </c>
      <c r="N258" s="8"/>
    </row>
    <row r="259" spans="1:14" x14ac:dyDescent="0.3">
      <c r="A259" s="12">
        <v>32934</v>
      </c>
      <c r="B259" s="6">
        <v>0</v>
      </c>
      <c r="C259" s="7"/>
      <c r="D259" s="6">
        <v>4858</v>
      </c>
      <c r="E259" s="7">
        <v>1</v>
      </c>
      <c r="F259" s="7" t="str">
        <f t="shared" si="12"/>
        <v/>
      </c>
      <c r="G259" s="6">
        <f t="shared" si="13"/>
        <v>0</v>
      </c>
      <c r="H259" s="6">
        <f t="shared" si="14"/>
        <v>0</v>
      </c>
      <c r="I259" s="7">
        <v>8</v>
      </c>
      <c r="J259" s="7"/>
      <c r="K259" s="6">
        <f t="shared" si="15"/>
        <v>0</v>
      </c>
      <c r="L259" s="6">
        <f>'Invoice Data'!$B259+'Invoice Data'!$D259-'Invoice Data'!$G259-'Invoice Data'!$K259+'Invoice Data'!$H259</f>
        <v>4858</v>
      </c>
      <c r="M259" s="6" t="e">
        <f>VLOOKUP('Invoice Data'!$A259,BPay!$B$4:$D$10,3,0)</f>
        <v>#N/A</v>
      </c>
      <c r="N259" s="8"/>
    </row>
    <row r="260" spans="1:14" x14ac:dyDescent="0.3">
      <c r="A260" s="12">
        <v>32943</v>
      </c>
      <c r="B260" s="6">
        <v>0</v>
      </c>
      <c r="C260" s="7"/>
      <c r="D260" s="6">
        <v>5546</v>
      </c>
      <c r="E260" s="7">
        <v>1</v>
      </c>
      <c r="F260" s="7" t="str">
        <f t="shared" si="12"/>
        <v/>
      </c>
      <c r="G260" s="6">
        <f t="shared" si="13"/>
        <v>0</v>
      </c>
      <c r="H260" s="6">
        <f t="shared" si="14"/>
        <v>0</v>
      </c>
      <c r="I260" s="7">
        <v>3</v>
      </c>
      <c r="J260" s="7"/>
      <c r="K260" s="6">
        <f t="shared" si="15"/>
        <v>0</v>
      </c>
      <c r="L260" s="6">
        <f>'Invoice Data'!$B260+'Invoice Data'!$D260-'Invoice Data'!$G260-'Invoice Data'!$K260+'Invoice Data'!$H260</f>
        <v>5546</v>
      </c>
      <c r="M260" s="6" t="e">
        <f>VLOOKUP('Invoice Data'!$A260,BPay!$B$4:$D$10,3,0)</f>
        <v>#N/A</v>
      </c>
      <c r="N260" s="8"/>
    </row>
    <row r="261" spans="1:14" x14ac:dyDescent="0.3">
      <c r="A261" s="12">
        <v>32952</v>
      </c>
      <c r="B261" s="6">
        <v>0</v>
      </c>
      <c r="C261" s="7"/>
      <c r="D261" s="6">
        <v>4084</v>
      </c>
      <c r="E261" s="7">
        <v>1</v>
      </c>
      <c r="F261" s="7" t="str">
        <f t="shared" si="12"/>
        <v/>
      </c>
      <c r="G261" s="6">
        <f t="shared" si="13"/>
        <v>0</v>
      </c>
      <c r="H261" s="6">
        <f t="shared" si="14"/>
        <v>0</v>
      </c>
      <c r="I261" s="7">
        <v>5</v>
      </c>
      <c r="J261" s="7"/>
      <c r="K261" s="6">
        <f t="shared" si="15"/>
        <v>0</v>
      </c>
      <c r="L261" s="6">
        <f>'Invoice Data'!$B261+'Invoice Data'!$D261-'Invoice Data'!$G261-'Invoice Data'!$K261+'Invoice Data'!$H261</f>
        <v>4084</v>
      </c>
      <c r="M261" s="6" t="e">
        <f>VLOOKUP('Invoice Data'!$A261,BPay!$B$4:$D$10,3,0)</f>
        <v>#N/A</v>
      </c>
      <c r="N261" s="8"/>
    </row>
    <row r="262" spans="1:14" x14ac:dyDescent="0.3">
      <c r="A262" s="12">
        <v>32961</v>
      </c>
      <c r="B262" s="6">
        <v>0</v>
      </c>
      <c r="C262" s="7"/>
      <c r="D262" s="6">
        <v>9792</v>
      </c>
      <c r="E262" s="7">
        <v>2</v>
      </c>
      <c r="F262" s="7" t="str">
        <f t="shared" si="12"/>
        <v>Y</v>
      </c>
      <c r="G262" s="6">
        <f t="shared" si="13"/>
        <v>489.6</v>
      </c>
      <c r="H262" s="6">
        <f t="shared" si="14"/>
        <v>0</v>
      </c>
      <c r="I262" s="7">
        <v>7</v>
      </c>
      <c r="J262" s="7"/>
      <c r="K262" s="6">
        <f t="shared" si="15"/>
        <v>0</v>
      </c>
      <c r="L262" s="6">
        <f>'Invoice Data'!$B262+'Invoice Data'!$D262-'Invoice Data'!$G262-'Invoice Data'!$K262+'Invoice Data'!$H262</f>
        <v>9302.4</v>
      </c>
      <c r="M262" s="6" t="e">
        <f>VLOOKUP('Invoice Data'!$A262,BPay!$B$4:$D$10,3,0)</f>
        <v>#N/A</v>
      </c>
      <c r="N262" s="8"/>
    </row>
    <row r="263" spans="1:14" x14ac:dyDescent="0.3">
      <c r="A263" s="12">
        <v>32970</v>
      </c>
      <c r="B263" s="6">
        <v>0</v>
      </c>
      <c r="C263" s="7"/>
      <c r="D263" s="6">
        <v>8388</v>
      </c>
      <c r="E263" s="7">
        <v>2</v>
      </c>
      <c r="F263" s="7" t="str">
        <f t="shared" si="12"/>
        <v>Y</v>
      </c>
      <c r="G263" s="6">
        <f t="shared" si="13"/>
        <v>419.40000000000003</v>
      </c>
      <c r="H263" s="6">
        <f t="shared" si="14"/>
        <v>0</v>
      </c>
      <c r="I263" s="7">
        <v>13</v>
      </c>
      <c r="J263" s="7"/>
      <c r="K263" s="6">
        <f t="shared" si="15"/>
        <v>0</v>
      </c>
      <c r="L263" s="6">
        <f>'Invoice Data'!$B263+'Invoice Data'!$D263-'Invoice Data'!$G263-'Invoice Data'!$K263+'Invoice Data'!$H263</f>
        <v>7968.6</v>
      </c>
      <c r="M263" s="6" t="e">
        <f>VLOOKUP('Invoice Data'!$A263,BPay!$B$4:$D$10,3,0)</f>
        <v>#N/A</v>
      </c>
      <c r="N263" s="8"/>
    </row>
    <row r="264" spans="1:14" x14ac:dyDescent="0.3">
      <c r="A264" s="12">
        <v>32989</v>
      </c>
      <c r="B264" s="6">
        <v>0</v>
      </c>
      <c r="C264" s="7"/>
      <c r="D264" s="6">
        <v>8825</v>
      </c>
      <c r="E264" s="7">
        <v>2</v>
      </c>
      <c r="F264" s="7" t="str">
        <f t="shared" si="12"/>
        <v>Y</v>
      </c>
      <c r="G264" s="6">
        <f t="shared" si="13"/>
        <v>441.25</v>
      </c>
      <c r="H264" s="6">
        <f t="shared" si="14"/>
        <v>0</v>
      </c>
      <c r="I264" s="7">
        <v>16</v>
      </c>
      <c r="J264" s="7"/>
      <c r="K264" s="6">
        <f t="shared" si="15"/>
        <v>250</v>
      </c>
      <c r="L264" s="6">
        <f>'Invoice Data'!$B264+'Invoice Data'!$D264-'Invoice Data'!$G264-'Invoice Data'!$K264+'Invoice Data'!$H264</f>
        <v>8133.75</v>
      </c>
      <c r="M264" s="6" t="e">
        <f>VLOOKUP('Invoice Data'!$A264,BPay!$B$4:$D$10,3,0)</f>
        <v>#N/A</v>
      </c>
      <c r="N264" s="8"/>
    </row>
    <row r="265" spans="1:14" x14ac:dyDescent="0.3">
      <c r="A265" s="12">
        <v>32998</v>
      </c>
      <c r="B265" s="6">
        <v>0</v>
      </c>
      <c r="C265" s="7"/>
      <c r="D265" s="6">
        <v>5377</v>
      </c>
      <c r="E265" s="7">
        <v>1</v>
      </c>
      <c r="F265" s="7" t="str">
        <f t="shared" ref="F265:F328" si="16">IF(E265&gt;=2,"Y", "")</f>
        <v/>
      </c>
      <c r="G265" s="6">
        <f t="shared" ref="G265:G328" si="17">IF(F265="y",D265*5%,0)</f>
        <v>0</v>
      </c>
      <c r="H265" s="6">
        <f t="shared" ref="H265:H328" si="18">IF(AND(B265&gt;0,C265&lt;&gt;"Y"),B265*10%,0)</f>
        <v>0</v>
      </c>
      <c r="I265" s="7">
        <v>15</v>
      </c>
      <c r="J265" s="7"/>
      <c r="K265" s="6">
        <f t="shared" ref="K265:K328" si="19">IF(OR(I265&gt;=16,J265),250,0)</f>
        <v>0</v>
      </c>
      <c r="L265" s="6">
        <f>'Invoice Data'!$B265+'Invoice Data'!$D265-'Invoice Data'!$G265-'Invoice Data'!$K265+'Invoice Data'!$H265</f>
        <v>5377</v>
      </c>
      <c r="M265" s="6" t="e">
        <f>VLOOKUP('Invoice Data'!$A265,BPay!$B$4:$D$10,3,0)</f>
        <v>#N/A</v>
      </c>
      <c r="N265" s="8"/>
    </row>
    <row r="266" spans="1:14" x14ac:dyDescent="0.3">
      <c r="A266" s="12">
        <v>33005</v>
      </c>
      <c r="B266" s="6">
        <v>0</v>
      </c>
      <c r="C266" s="7"/>
      <c r="D266" s="6">
        <v>8256</v>
      </c>
      <c r="E266" s="7">
        <v>2</v>
      </c>
      <c r="F266" s="7" t="str">
        <f t="shared" si="16"/>
        <v>Y</v>
      </c>
      <c r="G266" s="6">
        <f t="shared" si="17"/>
        <v>412.8</v>
      </c>
      <c r="H266" s="6">
        <f t="shared" si="18"/>
        <v>0</v>
      </c>
      <c r="I266" s="7">
        <v>3</v>
      </c>
      <c r="J266" s="7"/>
      <c r="K266" s="6">
        <f t="shared" si="19"/>
        <v>0</v>
      </c>
      <c r="L266" s="6">
        <f>'Invoice Data'!$B266+'Invoice Data'!$D266-'Invoice Data'!$G266-'Invoice Data'!$K266+'Invoice Data'!$H266</f>
        <v>7843.2</v>
      </c>
      <c r="M266" s="6" t="e">
        <f>VLOOKUP('Invoice Data'!$A266,BPay!$B$4:$D$10,3,0)</f>
        <v>#N/A</v>
      </c>
      <c r="N266" s="8"/>
    </row>
    <row r="267" spans="1:14" x14ac:dyDescent="0.3">
      <c r="A267" s="12">
        <v>33014</v>
      </c>
      <c r="B267" s="6">
        <v>0</v>
      </c>
      <c r="C267" s="7"/>
      <c r="D267" s="6">
        <v>7870</v>
      </c>
      <c r="E267" s="7">
        <v>2</v>
      </c>
      <c r="F267" s="7" t="str">
        <f t="shared" si="16"/>
        <v>Y</v>
      </c>
      <c r="G267" s="6">
        <f t="shared" si="17"/>
        <v>393.5</v>
      </c>
      <c r="H267" s="6">
        <f t="shared" si="18"/>
        <v>0</v>
      </c>
      <c r="I267" s="7">
        <v>16</v>
      </c>
      <c r="J267" s="7"/>
      <c r="K267" s="6">
        <f t="shared" si="19"/>
        <v>250</v>
      </c>
      <c r="L267" s="6">
        <f>'Invoice Data'!$B267+'Invoice Data'!$D267-'Invoice Data'!$G267-'Invoice Data'!$K267+'Invoice Data'!$H267</f>
        <v>7226.5</v>
      </c>
      <c r="M267" s="6" t="e">
        <f>VLOOKUP('Invoice Data'!$A267,BPay!$B$4:$D$10,3,0)</f>
        <v>#N/A</v>
      </c>
      <c r="N267" s="8"/>
    </row>
    <row r="268" spans="1:14" x14ac:dyDescent="0.3">
      <c r="A268" s="12">
        <v>33023</v>
      </c>
      <c r="B268" s="6">
        <v>0</v>
      </c>
      <c r="C268" s="7"/>
      <c r="D268" s="6">
        <v>5464</v>
      </c>
      <c r="E268" s="7">
        <v>1</v>
      </c>
      <c r="F268" s="7" t="str">
        <f t="shared" si="16"/>
        <v/>
      </c>
      <c r="G268" s="6">
        <f t="shared" si="17"/>
        <v>0</v>
      </c>
      <c r="H268" s="6">
        <f t="shared" si="18"/>
        <v>0</v>
      </c>
      <c r="I268" s="7">
        <v>13</v>
      </c>
      <c r="J268" s="7"/>
      <c r="K268" s="6">
        <f t="shared" si="19"/>
        <v>0</v>
      </c>
      <c r="L268" s="6">
        <f>'Invoice Data'!$B268+'Invoice Data'!$D268-'Invoice Data'!$G268-'Invoice Data'!$K268+'Invoice Data'!$H268</f>
        <v>5464</v>
      </c>
      <c r="M268" s="6" t="e">
        <f>VLOOKUP('Invoice Data'!$A268,BPay!$B$4:$D$10,3,0)</f>
        <v>#N/A</v>
      </c>
      <c r="N268" s="8"/>
    </row>
    <row r="269" spans="1:14" x14ac:dyDescent="0.3">
      <c r="A269" s="12">
        <v>33032</v>
      </c>
      <c r="B269" s="6">
        <v>0</v>
      </c>
      <c r="C269" s="7"/>
      <c r="D269" s="6">
        <v>5322</v>
      </c>
      <c r="E269" s="7">
        <v>1</v>
      </c>
      <c r="F269" s="7" t="str">
        <f t="shared" si="16"/>
        <v/>
      </c>
      <c r="G269" s="6">
        <f t="shared" si="17"/>
        <v>0</v>
      </c>
      <c r="H269" s="6">
        <f t="shared" si="18"/>
        <v>0</v>
      </c>
      <c r="I269" s="7">
        <v>9</v>
      </c>
      <c r="J269" s="7"/>
      <c r="K269" s="6">
        <f t="shared" si="19"/>
        <v>0</v>
      </c>
      <c r="L269" s="6">
        <f>'Invoice Data'!$B269+'Invoice Data'!$D269-'Invoice Data'!$G269-'Invoice Data'!$K269+'Invoice Data'!$H269</f>
        <v>5322</v>
      </c>
      <c r="M269" s="6" t="e">
        <f>VLOOKUP('Invoice Data'!$A269,BPay!$B$4:$D$10,3,0)</f>
        <v>#N/A</v>
      </c>
      <c r="N269" s="8"/>
    </row>
    <row r="270" spans="1:14" x14ac:dyDescent="0.3">
      <c r="A270" s="12">
        <v>33041</v>
      </c>
      <c r="B270" s="6">
        <v>0</v>
      </c>
      <c r="C270" s="7"/>
      <c r="D270" s="6">
        <v>6994</v>
      </c>
      <c r="E270" s="7">
        <v>2</v>
      </c>
      <c r="F270" s="7" t="str">
        <f t="shared" si="16"/>
        <v>Y</v>
      </c>
      <c r="G270" s="6">
        <f t="shared" si="17"/>
        <v>349.70000000000005</v>
      </c>
      <c r="H270" s="6">
        <f t="shared" si="18"/>
        <v>0</v>
      </c>
      <c r="I270" s="7">
        <v>12</v>
      </c>
      <c r="J270" s="7"/>
      <c r="K270" s="6">
        <f t="shared" si="19"/>
        <v>0</v>
      </c>
      <c r="L270" s="6">
        <f>'Invoice Data'!$B270+'Invoice Data'!$D270-'Invoice Data'!$G270-'Invoice Data'!$K270+'Invoice Data'!$H270</f>
        <v>6644.3</v>
      </c>
      <c r="M270" s="6" t="e">
        <f>VLOOKUP('Invoice Data'!$A270,BPay!$B$4:$D$10,3,0)</f>
        <v>#N/A</v>
      </c>
      <c r="N270" s="8"/>
    </row>
    <row r="271" spans="1:14" x14ac:dyDescent="0.3">
      <c r="A271" s="12">
        <v>33050</v>
      </c>
      <c r="B271" s="6">
        <v>0</v>
      </c>
      <c r="C271" s="7"/>
      <c r="D271" s="6">
        <v>5681</v>
      </c>
      <c r="E271" s="7">
        <v>1</v>
      </c>
      <c r="F271" s="7" t="str">
        <f t="shared" si="16"/>
        <v/>
      </c>
      <c r="G271" s="6">
        <f t="shared" si="17"/>
        <v>0</v>
      </c>
      <c r="H271" s="6">
        <f t="shared" si="18"/>
        <v>0</v>
      </c>
      <c r="I271" s="7">
        <v>2</v>
      </c>
      <c r="J271" s="7"/>
      <c r="K271" s="6">
        <f t="shared" si="19"/>
        <v>0</v>
      </c>
      <c r="L271" s="6">
        <f>'Invoice Data'!$B271+'Invoice Data'!$D271-'Invoice Data'!$G271-'Invoice Data'!$K271+'Invoice Data'!$H271</f>
        <v>5681</v>
      </c>
      <c r="M271" s="6" t="e">
        <f>VLOOKUP('Invoice Data'!$A271,BPay!$B$4:$D$10,3,0)</f>
        <v>#N/A</v>
      </c>
      <c r="N271" s="8"/>
    </row>
    <row r="272" spans="1:14" x14ac:dyDescent="0.3">
      <c r="A272" s="12">
        <v>33069</v>
      </c>
      <c r="B272" s="6">
        <v>0</v>
      </c>
      <c r="C272" s="7"/>
      <c r="D272" s="6">
        <v>5001</v>
      </c>
      <c r="E272" s="7">
        <v>1</v>
      </c>
      <c r="F272" s="7" t="str">
        <f t="shared" si="16"/>
        <v/>
      </c>
      <c r="G272" s="6">
        <f t="shared" si="17"/>
        <v>0</v>
      </c>
      <c r="H272" s="6">
        <f t="shared" si="18"/>
        <v>0</v>
      </c>
      <c r="I272" s="7">
        <v>5</v>
      </c>
      <c r="J272" s="7"/>
      <c r="K272" s="6">
        <f t="shared" si="19"/>
        <v>0</v>
      </c>
      <c r="L272" s="6">
        <f>'Invoice Data'!$B272+'Invoice Data'!$D272-'Invoice Data'!$G272-'Invoice Data'!$K272+'Invoice Data'!$H272</f>
        <v>5001</v>
      </c>
      <c r="M272" s="6" t="e">
        <f>VLOOKUP('Invoice Data'!$A272,BPay!$B$4:$D$10,3,0)</f>
        <v>#N/A</v>
      </c>
      <c r="N272" s="8"/>
    </row>
    <row r="273" spans="1:14" x14ac:dyDescent="0.3">
      <c r="A273" s="12">
        <v>33078</v>
      </c>
      <c r="B273" s="6">
        <v>0</v>
      </c>
      <c r="C273" s="7"/>
      <c r="D273" s="6">
        <v>7394</v>
      </c>
      <c r="E273" s="7">
        <v>2</v>
      </c>
      <c r="F273" s="7" t="str">
        <f t="shared" si="16"/>
        <v>Y</v>
      </c>
      <c r="G273" s="6">
        <f t="shared" si="17"/>
        <v>369.70000000000005</v>
      </c>
      <c r="H273" s="6">
        <f t="shared" si="18"/>
        <v>0</v>
      </c>
      <c r="I273" s="7">
        <v>3</v>
      </c>
      <c r="J273" s="7"/>
      <c r="K273" s="6">
        <f t="shared" si="19"/>
        <v>0</v>
      </c>
      <c r="L273" s="6">
        <f>'Invoice Data'!$B273+'Invoice Data'!$D273-'Invoice Data'!$G273-'Invoice Data'!$K273+'Invoice Data'!$H273</f>
        <v>7024.3</v>
      </c>
      <c r="M273" s="6" t="e">
        <f>VLOOKUP('Invoice Data'!$A273,BPay!$B$4:$D$10,3,0)</f>
        <v>#N/A</v>
      </c>
      <c r="N273" s="8"/>
    </row>
    <row r="274" spans="1:14" x14ac:dyDescent="0.3">
      <c r="A274" s="12">
        <v>33087</v>
      </c>
      <c r="B274" s="6">
        <v>0</v>
      </c>
      <c r="C274" s="7"/>
      <c r="D274" s="6">
        <v>10216</v>
      </c>
      <c r="E274" s="7">
        <v>2</v>
      </c>
      <c r="F274" s="7" t="str">
        <f t="shared" si="16"/>
        <v>Y</v>
      </c>
      <c r="G274" s="6">
        <f t="shared" si="17"/>
        <v>510.8</v>
      </c>
      <c r="H274" s="6">
        <f t="shared" si="18"/>
        <v>0</v>
      </c>
      <c r="I274" s="7">
        <v>9</v>
      </c>
      <c r="J274" s="7"/>
      <c r="K274" s="6">
        <f t="shared" si="19"/>
        <v>0</v>
      </c>
      <c r="L274" s="6">
        <f>'Invoice Data'!$B274+'Invoice Data'!$D274-'Invoice Data'!$G274-'Invoice Data'!$K274+'Invoice Data'!$H274</f>
        <v>9705.2000000000007</v>
      </c>
      <c r="M274" s="6" t="e">
        <f>VLOOKUP('Invoice Data'!$A274,BPay!$B$4:$D$10,3,0)</f>
        <v>#N/A</v>
      </c>
      <c r="N274" s="8"/>
    </row>
    <row r="275" spans="1:14" x14ac:dyDescent="0.3">
      <c r="A275" s="12">
        <v>33096</v>
      </c>
      <c r="B275" s="6">
        <v>0</v>
      </c>
      <c r="C275" s="7"/>
      <c r="D275" s="6">
        <v>4051</v>
      </c>
      <c r="E275" s="7">
        <v>1</v>
      </c>
      <c r="F275" s="7" t="str">
        <f t="shared" si="16"/>
        <v/>
      </c>
      <c r="G275" s="6">
        <f t="shared" si="17"/>
        <v>0</v>
      </c>
      <c r="H275" s="6">
        <f t="shared" si="18"/>
        <v>0</v>
      </c>
      <c r="I275" s="7">
        <v>7</v>
      </c>
      <c r="J275" s="7"/>
      <c r="K275" s="6">
        <f t="shared" si="19"/>
        <v>0</v>
      </c>
      <c r="L275" s="6">
        <f>'Invoice Data'!$B275+'Invoice Data'!$D275-'Invoice Data'!$G275-'Invoice Data'!$K275+'Invoice Data'!$H275</f>
        <v>4051</v>
      </c>
      <c r="M275" s="6" t="e">
        <f>VLOOKUP('Invoice Data'!$A275,BPay!$B$4:$D$10,3,0)</f>
        <v>#N/A</v>
      </c>
      <c r="N275" s="8"/>
    </row>
    <row r="276" spans="1:14" x14ac:dyDescent="0.3">
      <c r="A276" s="12">
        <v>33103</v>
      </c>
      <c r="B276" s="6">
        <v>0</v>
      </c>
      <c r="C276" s="7"/>
      <c r="D276" s="6">
        <v>9011</v>
      </c>
      <c r="E276" s="7">
        <v>2</v>
      </c>
      <c r="F276" s="7" t="str">
        <f t="shared" si="16"/>
        <v>Y</v>
      </c>
      <c r="G276" s="6">
        <f t="shared" si="17"/>
        <v>450.55</v>
      </c>
      <c r="H276" s="6">
        <f t="shared" si="18"/>
        <v>0</v>
      </c>
      <c r="I276" s="7">
        <v>13</v>
      </c>
      <c r="J276" s="7"/>
      <c r="K276" s="6">
        <f t="shared" si="19"/>
        <v>0</v>
      </c>
      <c r="L276" s="6">
        <f>'Invoice Data'!$B276+'Invoice Data'!$D276-'Invoice Data'!$G276-'Invoice Data'!$K276+'Invoice Data'!$H276</f>
        <v>8560.4500000000007</v>
      </c>
      <c r="M276" s="6" t="e">
        <f>VLOOKUP('Invoice Data'!$A276,BPay!$B$4:$D$10,3,0)</f>
        <v>#N/A</v>
      </c>
      <c r="N276" s="8"/>
    </row>
    <row r="277" spans="1:14" x14ac:dyDescent="0.3">
      <c r="A277" s="12">
        <v>33112</v>
      </c>
      <c r="B277" s="6">
        <v>0</v>
      </c>
      <c r="C277" s="7"/>
      <c r="D277" s="6">
        <v>8247</v>
      </c>
      <c r="E277" s="7">
        <v>2</v>
      </c>
      <c r="F277" s="7" t="str">
        <f t="shared" si="16"/>
        <v>Y</v>
      </c>
      <c r="G277" s="6">
        <f t="shared" si="17"/>
        <v>412.35</v>
      </c>
      <c r="H277" s="6">
        <f t="shared" si="18"/>
        <v>0</v>
      </c>
      <c r="I277" s="7">
        <v>7</v>
      </c>
      <c r="J277" s="7"/>
      <c r="K277" s="6">
        <f t="shared" si="19"/>
        <v>0</v>
      </c>
      <c r="L277" s="6">
        <f>'Invoice Data'!$B277+'Invoice Data'!$D277-'Invoice Data'!$G277-'Invoice Data'!$K277+'Invoice Data'!$H277</f>
        <v>7834.65</v>
      </c>
      <c r="M277" s="6" t="e">
        <f>VLOOKUP('Invoice Data'!$A277,BPay!$B$4:$D$10,3,0)</f>
        <v>#N/A</v>
      </c>
      <c r="N277" s="8"/>
    </row>
    <row r="278" spans="1:14" x14ac:dyDescent="0.3">
      <c r="A278" s="12">
        <v>33121</v>
      </c>
      <c r="B278" s="6">
        <v>0</v>
      </c>
      <c r="C278" s="7"/>
      <c r="D278" s="6">
        <v>10540</v>
      </c>
      <c r="E278" s="7">
        <v>2</v>
      </c>
      <c r="F278" s="7" t="str">
        <f t="shared" si="16"/>
        <v>Y</v>
      </c>
      <c r="G278" s="6">
        <f t="shared" si="17"/>
        <v>527</v>
      </c>
      <c r="H278" s="6">
        <f t="shared" si="18"/>
        <v>0</v>
      </c>
      <c r="I278" s="7">
        <v>10</v>
      </c>
      <c r="J278" s="7"/>
      <c r="K278" s="6">
        <f t="shared" si="19"/>
        <v>0</v>
      </c>
      <c r="L278" s="6">
        <f>'Invoice Data'!$B278+'Invoice Data'!$D278-'Invoice Data'!$G278-'Invoice Data'!$K278+'Invoice Data'!$H278</f>
        <v>10013</v>
      </c>
      <c r="M278" s="6" t="e">
        <f>VLOOKUP('Invoice Data'!$A278,BPay!$B$4:$D$10,3,0)</f>
        <v>#N/A</v>
      </c>
      <c r="N278" s="8"/>
    </row>
    <row r="279" spans="1:14" x14ac:dyDescent="0.3">
      <c r="A279" s="12">
        <v>33130</v>
      </c>
      <c r="B279" s="6">
        <v>0</v>
      </c>
      <c r="C279" s="7"/>
      <c r="D279" s="6">
        <v>7601</v>
      </c>
      <c r="E279" s="7">
        <v>2</v>
      </c>
      <c r="F279" s="7" t="str">
        <f t="shared" si="16"/>
        <v>Y</v>
      </c>
      <c r="G279" s="6">
        <f t="shared" si="17"/>
        <v>380.05</v>
      </c>
      <c r="H279" s="6">
        <f t="shared" si="18"/>
        <v>0</v>
      </c>
      <c r="I279" s="7">
        <v>0</v>
      </c>
      <c r="J279" s="7" t="b">
        <v>1</v>
      </c>
      <c r="K279" s="6">
        <f t="shared" si="19"/>
        <v>250</v>
      </c>
      <c r="L279" s="6">
        <f>'Invoice Data'!$B279+'Invoice Data'!$D279-'Invoice Data'!$G279-'Invoice Data'!$K279+'Invoice Data'!$H279</f>
        <v>6970.95</v>
      </c>
      <c r="M279" s="6" t="e">
        <f>VLOOKUP('Invoice Data'!$A279,BPay!$B$4:$D$10,3,0)</f>
        <v>#N/A</v>
      </c>
      <c r="N279" s="8"/>
    </row>
    <row r="280" spans="1:14" x14ac:dyDescent="0.3">
      <c r="A280" s="12">
        <v>33149</v>
      </c>
      <c r="B280" s="6">
        <v>0</v>
      </c>
      <c r="C280" s="7"/>
      <c r="D280" s="6">
        <v>8001</v>
      </c>
      <c r="E280" s="7">
        <v>2</v>
      </c>
      <c r="F280" s="7" t="str">
        <f t="shared" si="16"/>
        <v>Y</v>
      </c>
      <c r="G280" s="6">
        <f t="shared" si="17"/>
        <v>400.05</v>
      </c>
      <c r="H280" s="6">
        <f t="shared" si="18"/>
        <v>0</v>
      </c>
      <c r="I280" s="7">
        <v>1</v>
      </c>
      <c r="J280" s="7"/>
      <c r="K280" s="6">
        <f t="shared" si="19"/>
        <v>0</v>
      </c>
      <c r="L280" s="6">
        <f>'Invoice Data'!$B280+'Invoice Data'!$D280-'Invoice Data'!$G280-'Invoice Data'!$K280+'Invoice Data'!$H280</f>
        <v>7600.95</v>
      </c>
      <c r="M280" s="6" t="e">
        <f>VLOOKUP('Invoice Data'!$A280,BPay!$B$4:$D$10,3,0)</f>
        <v>#N/A</v>
      </c>
      <c r="N280" s="8"/>
    </row>
    <row r="281" spans="1:14" x14ac:dyDescent="0.3">
      <c r="A281" s="12">
        <v>33158</v>
      </c>
      <c r="B281" s="6">
        <v>0</v>
      </c>
      <c r="C281" s="7"/>
      <c r="D281" s="6">
        <v>5605</v>
      </c>
      <c r="E281" s="7">
        <v>1</v>
      </c>
      <c r="F281" s="7" t="str">
        <f t="shared" si="16"/>
        <v/>
      </c>
      <c r="G281" s="6">
        <f t="shared" si="17"/>
        <v>0</v>
      </c>
      <c r="H281" s="6">
        <f t="shared" si="18"/>
        <v>0</v>
      </c>
      <c r="I281" s="7">
        <v>10</v>
      </c>
      <c r="J281" s="7"/>
      <c r="K281" s="6">
        <f t="shared" si="19"/>
        <v>0</v>
      </c>
      <c r="L281" s="6">
        <f>'Invoice Data'!$B281+'Invoice Data'!$D281-'Invoice Data'!$G281-'Invoice Data'!$K281+'Invoice Data'!$H281</f>
        <v>5605</v>
      </c>
      <c r="M281" s="6" t="e">
        <f>VLOOKUP('Invoice Data'!$A281,BPay!$B$4:$D$10,3,0)</f>
        <v>#N/A</v>
      </c>
      <c r="N281" s="8"/>
    </row>
    <row r="282" spans="1:14" x14ac:dyDescent="0.3">
      <c r="A282" s="12">
        <v>33167</v>
      </c>
      <c r="B282" s="6">
        <v>0</v>
      </c>
      <c r="C282" s="7"/>
      <c r="D282" s="6">
        <v>10055</v>
      </c>
      <c r="E282" s="7">
        <v>2</v>
      </c>
      <c r="F282" s="7" t="str">
        <f t="shared" si="16"/>
        <v>Y</v>
      </c>
      <c r="G282" s="6">
        <f t="shared" si="17"/>
        <v>502.75</v>
      </c>
      <c r="H282" s="6">
        <f t="shared" si="18"/>
        <v>0</v>
      </c>
      <c r="I282" s="7">
        <v>0</v>
      </c>
      <c r="J282" s="7"/>
      <c r="K282" s="6">
        <f t="shared" si="19"/>
        <v>0</v>
      </c>
      <c r="L282" s="6">
        <f>'Invoice Data'!$B282+'Invoice Data'!$D282-'Invoice Data'!$G282-'Invoice Data'!$K282+'Invoice Data'!$H282</f>
        <v>9552.25</v>
      </c>
      <c r="M282" s="6" t="e">
        <f>VLOOKUP('Invoice Data'!$A282,BPay!$B$4:$D$10,3,0)</f>
        <v>#N/A</v>
      </c>
      <c r="N282" s="8"/>
    </row>
    <row r="283" spans="1:14" x14ac:dyDescent="0.3">
      <c r="A283" s="12">
        <v>33176</v>
      </c>
      <c r="B283" s="6">
        <v>0</v>
      </c>
      <c r="C283" s="7"/>
      <c r="D283" s="6">
        <v>3639</v>
      </c>
      <c r="E283" s="7">
        <v>1</v>
      </c>
      <c r="F283" s="7" t="str">
        <f t="shared" si="16"/>
        <v/>
      </c>
      <c r="G283" s="6">
        <f t="shared" si="17"/>
        <v>0</v>
      </c>
      <c r="H283" s="6">
        <f t="shared" si="18"/>
        <v>0</v>
      </c>
      <c r="I283" s="7">
        <v>10</v>
      </c>
      <c r="J283" s="7"/>
      <c r="K283" s="6">
        <f t="shared" si="19"/>
        <v>0</v>
      </c>
      <c r="L283" s="6">
        <f>'Invoice Data'!$B283+'Invoice Data'!$D283-'Invoice Data'!$G283-'Invoice Data'!$K283+'Invoice Data'!$H283</f>
        <v>3639</v>
      </c>
      <c r="M283" s="6" t="e">
        <f>VLOOKUP('Invoice Data'!$A283,BPay!$B$4:$D$10,3,0)</f>
        <v>#N/A</v>
      </c>
      <c r="N283" s="8"/>
    </row>
    <row r="284" spans="1:14" x14ac:dyDescent="0.3">
      <c r="A284" s="12">
        <v>33185</v>
      </c>
      <c r="B284" s="6">
        <v>0</v>
      </c>
      <c r="C284" s="7"/>
      <c r="D284" s="6">
        <v>3679</v>
      </c>
      <c r="E284" s="7">
        <v>1</v>
      </c>
      <c r="F284" s="7" t="str">
        <f t="shared" si="16"/>
        <v/>
      </c>
      <c r="G284" s="6">
        <f t="shared" si="17"/>
        <v>0</v>
      </c>
      <c r="H284" s="6">
        <f t="shared" si="18"/>
        <v>0</v>
      </c>
      <c r="I284" s="7">
        <v>3</v>
      </c>
      <c r="J284" s="7"/>
      <c r="K284" s="6">
        <f t="shared" si="19"/>
        <v>0</v>
      </c>
      <c r="L284" s="6">
        <f>'Invoice Data'!$B284+'Invoice Data'!$D284-'Invoice Data'!$G284-'Invoice Data'!$K284+'Invoice Data'!$H284</f>
        <v>3679</v>
      </c>
      <c r="M284" s="6" t="e">
        <f>VLOOKUP('Invoice Data'!$A284,BPay!$B$4:$D$10,3,0)</f>
        <v>#N/A</v>
      </c>
      <c r="N284" s="8"/>
    </row>
    <row r="285" spans="1:14" x14ac:dyDescent="0.3">
      <c r="A285" s="12">
        <v>33194</v>
      </c>
      <c r="B285" s="6">
        <v>0</v>
      </c>
      <c r="C285" s="7"/>
      <c r="D285" s="6">
        <v>7635</v>
      </c>
      <c r="E285" s="7">
        <v>2</v>
      </c>
      <c r="F285" s="7" t="str">
        <f t="shared" si="16"/>
        <v>Y</v>
      </c>
      <c r="G285" s="6">
        <f t="shared" si="17"/>
        <v>381.75</v>
      </c>
      <c r="H285" s="6">
        <f t="shared" si="18"/>
        <v>0</v>
      </c>
      <c r="I285" s="7">
        <v>7</v>
      </c>
      <c r="J285" s="7"/>
      <c r="K285" s="6">
        <f t="shared" si="19"/>
        <v>0</v>
      </c>
      <c r="L285" s="6">
        <f>'Invoice Data'!$B285+'Invoice Data'!$D285-'Invoice Data'!$G285-'Invoice Data'!$K285+'Invoice Data'!$H285</f>
        <v>7253.25</v>
      </c>
      <c r="M285" s="6" t="e">
        <f>VLOOKUP('Invoice Data'!$A285,BPay!$B$4:$D$10,3,0)</f>
        <v>#N/A</v>
      </c>
      <c r="N285" s="8"/>
    </row>
    <row r="286" spans="1:14" x14ac:dyDescent="0.3">
      <c r="A286" s="12">
        <v>33201</v>
      </c>
      <c r="B286" s="6">
        <v>0</v>
      </c>
      <c r="C286" s="7"/>
      <c r="D286" s="6">
        <v>8638</v>
      </c>
      <c r="E286" s="7">
        <v>2</v>
      </c>
      <c r="F286" s="7" t="str">
        <f t="shared" si="16"/>
        <v>Y</v>
      </c>
      <c r="G286" s="6">
        <f t="shared" si="17"/>
        <v>431.90000000000003</v>
      </c>
      <c r="H286" s="6">
        <f t="shared" si="18"/>
        <v>0</v>
      </c>
      <c r="I286" s="7">
        <v>1</v>
      </c>
      <c r="J286" s="7"/>
      <c r="K286" s="6">
        <f t="shared" si="19"/>
        <v>0</v>
      </c>
      <c r="L286" s="6">
        <f>'Invoice Data'!$B286+'Invoice Data'!$D286-'Invoice Data'!$G286-'Invoice Data'!$K286+'Invoice Data'!$H286</f>
        <v>8206.1</v>
      </c>
      <c r="M286" s="6" t="e">
        <f>VLOOKUP('Invoice Data'!$A286,BPay!$B$4:$D$10,3,0)</f>
        <v>#N/A</v>
      </c>
      <c r="N286" s="8"/>
    </row>
    <row r="287" spans="1:14" x14ac:dyDescent="0.3">
      <c r="A287" s="12">
        <v>33210</v>
      </c>
      <c r="B287" s="6">
        <v>0</v>
      </c>
      <c r="C287" s="7"/>
      <c r="D287" s="6">
        <v>3683</v>
      </c>
      <c r="E287" s="7">
        <v>1</v>
      </c>
      <c r="F287" s="7" t="str">
        <f t="shared" si="16"/>
        <v/>
      </c>
      <c r="G287" s="6">
        <f t="shared" si="17"/>
        <v>0</v>
      </c>
      <c r="H287" s="6">
        <f t="shared" si="18"/>
        <v>0</v>
      </c>
      <c r="I287" s="7">
        <v>7</v>
      </c>
      <c r="J287" s="7"/>
      <c r="K287" s="6">
        <f t="shared" si="19"/>
        <v>0</v>
      </c>
      <c r="L287" s="6">
        <f>'Invoice Data'!$B287+'Invoice Data'!$D287-'Invoice Data'!$G287-'Invoice Data'!$K287+'Invoice Data'!$H287</f>
        <v>3683</v>
      </c>
      <c r="M287" s="6" t="e">
        <f>VLOOKUP('Invoice Data'!$A287,BPay!$B$4:$D$10,3,0)</f>
        <v>#N/A</v>
      </c>
      <c r="N287" s="8"/>
    </row>
    <row r="288" spans="1:14" x14ac:dyDescent="0.3">
      <c r="A288" s="12">
        <v>33229</v>
      </c>
      <c r="B288" s="6">
        <v>1304</v>
      </c>
      <c r="C288" s="7"/>
      <c r="D288" s="6">
        <v>7773</v>
      </c>
      <c r="E288" s="7">
        <v>2</v>
      </c>
      <c r="F288" s="7" t="str">
        <f t="shared" si="16"/>
        <v>Y</v>
      </c>
      <c r="G288" s="6">
        <f t="shared" si="17"/>
        <v>388.65000000000003</v>
      </c>
      <c r="H288" s="6">
        <f t="shared" si="18"/>
        <v>130.4</v>
      </c>
      <c r="I288" s="7">
        <v>11</v>
      </c>
      <c r="J288" s="7"/>
      <c r="K288" s="6">
        <f t="shared" si="19"/>
        <v>0</v>
      </c>
      <c r="L288" s="6">
        <f>'Invoice Data'!$B288+'Invoice Data'!$D288-'Invoice Data'!$G288-'Invoice Data'!$K288+'Invoice Data'!$H288</f>
        <v>8818.75</v>
      </c>
      <c r="M288" s="6" t="e">
        <f>VLOOKUP('Invoice Data'!$A288,BPay!$B$4:$D$10,3,0)</f>
        <v>#N/A</v>
      </c>
      <c r="N288" s="8"/>
    </row>
    <row r="289" spans="1:14" x14ac:dyDescent="0.3">
      <c r="A289" s="12">
        <v>33238</v>
      </c>
      <c r="B289" s="6">
        <v>0</v>
      </c>
      <c r="C289" s="7"/>
      <c r="D289" s="6">
        <v>4619</v>
      </c>
      <c r="E289" s="7">
        <v>1</v>
      </c>
      <c r="F289" s="7" t="str">
        <f t="shared" si="16"/>
        <v/>
      </c>
      <c r="G289" s="6">
        <f t="shared" si="17"/>
        <v>0</v>
      </c>
      <c r="H289" s="6">
        <f t="shared" si="18"/>
        <v>0</v>
      </c>
      <c r="I289" s="7">
        <v>0</v>
      </c>
      <c r="J289" s="7"/>
      <c r="K289" s="6">
        <f t="shared" si="19"/>
        <v>0</v>
      </c>
      <c r="L289" s="6">
        <f>'Invoice Data'!$B289+'Invoice Data'!$D289-'Invoice Data'!$G289-'Invoice Data'!$K289+'Invoice Data'!$H289</f>
        <v>4619</v>
      </c>
      <c r="M289" s="6" t="e">
        <f>VLOOKUP('Invoice Data'!$A289,BPay!$B$4:$D$10,3,0)</f>
        <v>#N/A</v>
      </c>
      <c r="N289" s="8"/>
    </row>
    <row r="290" spans="1:14" x14ac:dyDescent="0.3">
      <c r="A290" s="12">
        <v>33247</v>
      </c>
      <c r="B290" s="6">
        <v>0</v>
      </c>
      <c r="C290" s="7"/>
      <c r="D290" s="6">
        <v>3579</v>
      </c>
      <c r="E290" s="7">
        <v>1</v>
      </c>
      <c r="F290" s="7" t="str">
        <f t="shared" si="16"/>
        <v/>
      </c>
      <c r="G290" s="6">
        <f t="shared" si="17"/>
        <v>0</v>
      </c>
      <c r="H290" s="6">
        <f t="shared" si="18"/>
        <v>0</v>
      </c>
      <c r="I290" s="7">
        <v>11</v>
      </c>
      <c r="J290" s="7"/>
      <c r="K290" s="6">
        <f t="shared" si="19"/>
        <v>0</v>
      </c>
      <c r="L290" s="6">
        <f>'Invoice Data'!$B290+'Invoice Data'!$D290-'Invoice Data'!$G290-'Invoice Data'!$K290+'Invoice Data'!$H290</f>
        <v>3579</v>
      </c>
      <c r="M290" s="6" t="e">
        <f>VLOOKUP('Invoice Data'!$A290,BPay!$B$4:$D$10,3,0)</f>
        <v>#N/A</v>
      </c>
      <c r="N290" s="8"/>
    </row>
    <row r="291" spans="1:14" x14ac:dyDescent="0.3">
      <c r="A291" s="12">
        <v>33256</v>
      </c>
      <c r="B291" s="6">
        <v>0</v>
      </c>
      <c r="C291" s="7"/>
      <c r="D291" s="6">
        <v>3926</v>
      </c>
      <c r="E291" s="7">
        <v>1</v>
      </c>
      <c r="F291" s="7" t="str">
        <f t="shared" si="16"/>
        <v/>
      </c>
      <c r="G291" s="6">
        <f t="shared" si="17"/>
        <v>0</v>
      </c>
      <c r="H291" s="6">
        <f t="shared" si="18"/>
        <v>0</v>
      </c>
      <c r="I291" s="7">
        <v>13</v>
      </c>
      <c r="J291" s="7"/>
      <c r="K291" s="6">
        <f t="shared" si="19"/>
        <v>0</v>
      </c>
      <c r="L291" s="6">
        <f>'Invoice Data'!$B291+'Invoice Data'!$D291-'Invoice Data'!$G291-'Invoice Data'!$K291+'Invoice Data'!$H291</f>
        <v>3926</v>
      </c>
      <c r="M291" s="6" t="e">
        <f>VLOOKUP('Invoice Data'!$A291,BPay!$B$4:$D$10,3,0)</f>
        <v>#N/A</v>
      </c>
      <c r="N291" s="8"/>
    </row>
    <row r="292" spans="1:14" x14ac:dyDescent="0.3">
      <c r="A292" s="12">
        <v>33265</v>
      </c>
      <c r="B292" s="6">
        <v>0</v>
      </c>
      <c r="C292" s="7"/>
      <c r="D292" s="6">
        <v>8414</v>
      </c>
      <c r="E292" s="7">
        <v>2</v>
      </c>
      <c r="F292" s="7" t="str">
        <f t="shared" si="16"/>
        <v>Y</v>
      </c>
      <c r="G292" s="6">
        <f t="shared" si="17"/>
        <v>420.70000000000005</v>
      </c>
      <c r="H292" s="6">
        <f t="shared" si="18"/>
        <v>0</v>
      </c>
      <c r="I292" s="7">
        <v>7</v>
      </c>
      <c r="J292" s="7"/>
      <c r="K292" s="6">
        <f t="shared" si="19"/>
        <v>0</v>
      </c>
      <c r="L292" s="6">
        <f>'Invoice Data'!$B292+'Invoice Data'!$D292-'Invoice Data'!$G292-'Invoice Data'!$K292+'Invoice Data'!$H292</f>
        <v>7993.3</v>
      </c>
      <c r="M292" s="6" t="e">
        <f>VLOOKUP('Invoice Data'!$A292,BPay!$B$4:$D$10,3,0)</f>
        <v>#N/A</v>
      </c>
      <c r="N292" s="8"/>
    </row>
    <row r="293" spans="1:14" x14ac:dyDescent="0.3">
      <c r="A293" s="12">
        <v>33274</v>
      </c>
      <c r="B293" s="6">
        <v>0</v>
      </c>
      <c r="C293" s="7"/>
      <c r="D293" s="6">
        <v>5558</v>
      </c>
      <c r="E293" s="7">
        <v>1</v>
      </c>
      <c r="F293" s="7" t="str">
        <f t="shared" si="16"/>
        <v/>
      </c>
      <c r="G293" s="6">
        <f t="shared" si="17"/>
        <v>0</v>
      </c>
      <c r="H293" s="6">
        <f t="shared" si="18"/>
        <v>0</v>
      </c>
      <c r="I293" s="7">
        <v>13</v>
      </c>
      <c r="J293" s="7"/>
      <c r="K293" s="6">
        <f t="shared" si="19"/>
        <v>0</v>
      </c>
      <c r="L293" s="6">
        <f>'Invoice Data'!$B293+'Invoice Data'!$D293-'Invoice Data'!$G293-'Invoice Data'!$K293+'Invoice Data'!$H293</f>
        <v>5558</v>
      </c>
      <c r="M293" s="6" t="e">
        <f>VLOOKUP('Invoice Data'!$A293,BPay!$B$4:$D$10,3,0)</f>
        <v>#N/A</v>
      </c>
      <c r="N293" s="8"/>
    </row>
    <row r="294" spans="1:14" x14ac:dyDescent="0.3">
      <c r="A294" s="12">
        <v>33283</v>
      </c>
      <c r="B294" s="6">
        <v>0</v>
      </c>
      <c r="C294" s="7"/>
      <c r="D294" s="6">
        <v>4598</v>
      </c>
      <c r="E294" s="7">
        <v>1</v>
      </c>
      <c r="F294" s="7" t="str">
        <f t="shared" si="16"/>
        <v/>
      </c>
      <c r="G294" s="6">
        <f t="shared" si="17"/>
        <v>0</v>
      </c>
      <c r="H294" s="6">
        <f t="shared" si="18"/>
        <v>0</v>
      </c>
      <c r="I294" s="7">
        <v>9</v>
      </c>
      <c r="J294" s="7"/>
      <c r="K294" s="6">
        <f t="shared" si="19"/>
        <v>0</v>
      </c>
      <c r="L294" s="6">
        <f>'Invoice Data'!$B294+'Invoice Data'!$D294-'Invoice Data'!$G294-'Invoice Data'!$K294+'Invoice Data'!$H294</f>
        <v>4598</v>
      </c>
      <c r="M294" s="6" t="e">
        <f>VLOOKUP('Invoice Data'!$A294,BPay!$B$4:$D$10,3,0)</f>
        <v>#N/A</v>
      </c>
      <c r="N294" s="8"/>
    </row>
    <row r="295" spans="1:14" x14ac:dyDescent="0.3">
      <c r="A295" s="12">
        <v>33292</v>
      </c>
      <c r="B295" s="6">
        <v>0</v>
      </c>
      <c r="C295" s="7"/>
      <c r="D295" s="6">
        <v>3998</v>
      </c>
      <c r="E295" s="7">
        <v>1</v>
      </c>
      <c r="F295" s="7" t="str">
        <f t="shared" si="16"/>
        <v/>
      </c>
      <c r="G295" s="6">
        <f t="shared" si="17"/>
        <v>0</v>
      </c>
      <c r="H295" s="6">
        <f t="shared" si="18"/>
        <v>0</v>
      </c>
      <c r="I295" s="7">
        <v>1</v>
      </c>
      <c r="J295" s="7"/>
      <c r="K295" s="6">
        <f t="shared" si="19"/>
        <v>0</v>
      </c>
      <c r="L295" s="6">
        <f>'Invoice Data'!$B295+'Invoice Data'!$D295-'Invoice Data'!$G295-'Invoice Data'!$K295+'Invoice Data'!$H295</f>
        <v>3998</v>
      </c>
      <c r="M295" s="6" t="e">
        <f>VLOOKUP('Invoice Data'!$A295,BPay!$B$4:$D$10,3,0)</f>
        <v>#N/A</v>
      </c>
      <c r="N295" s="8"/>
    </row>
    <row r="296" spans="1:14" x14ac:dyDescent="0.3">
      <c r="A296" s="12">
        <v>33309</v>
      </c>
      <c r="B296" s="6">
        <v>0</v>
      </c>
      <c r="C296" s="7"/>
      <c r="D296" s="6">
        <v>4017</v>
      </c>
      <c r="E296" s="7">
        <v>1</v>
      </c>
      <c r="F296" s="7" t="str">
        <f t="shared" si="16"/>
        <v/>
      </c>
      <c r="G296" s="6">
        <f t="shared" si="17"/>
        <v>0</v>
      </c>
      <c r="H296" s="6">
        <f t="shared" si="18"/>
        <v>0</v>
      </c>
      <c r="I296" s="7">
        <v>14</v>
      </c>
      <c r="J296" s="7"/>
      <c r="K296" s="6">
        <f t="shared" si="19"/>
        <v>0</v>
      </c>
      <c r="L296" s="6">
        <f>'Invoice Data'!$B296+'Invoice Data'!$D296-'Invoice Data'!$G296-'Invoice Data'!$K296+'Invoice Data'!$H296</f>
        <v>4017</v>
      </c>
      <c r="M296" s="6" t="e">
        <f>VLOOKUP('Invoice Data'!$A296,BPay!$B$4:$D$10,3,0)</f>
        <v>#N/A</v>
      </c>
      <c r="N296" s="8"/>
    </row>
    <row r="297" spans="1:14" x14ac:dyDescent="0.3">
      <c r="A297" s="12">
        <v>33318</v>
      </c>
      <c r="B297" s="6">
        <v>0</v>
      </c>
      <c r="C297" s="7"/>
      <c r="D297" s="6">
        <v>5299</v>
      </c>
      <c r="E297" s="7">
        <v>1</v>
      </c>
      <c r="F297" s="7" t="str">
        <f t="shared" si="16"/>
        <v/>
      </c>
      <c r="G297" s="6">
        <f t="shared" si="17"/>
        <v>0</v>
      </c>
      <c r="H297" s="6">
        <f t="shared" si="18"/>
        <v>0</v>
      </c>
      <c r="I297" s="7">
        <v>1</v>
      </c>
      <c r="J297" s="7"/>
      <c r="K297" s="6">
        <f t="shared" si="19"/>
        <v>0</v>
      </c>
      <c r="L297" s="6">
        <f>'Invoice Data'!$B297+'Invoice Data'!$D297-'Invoice Data'!$G297-'Invoice Data'!$K297+'Invoice Data'!$H297</f>
        <v>5299</v>
      </c>
      <c r="M297" s="6" t="e">
        <f>VLOOKUP('Invoice Data'!$A297,BPay!$B$4:$D$10,3,0)</f>
        <v>#N/A</v>
      </c>
      <c r="N297" s="8"/>
    </row>
    <row r="298" spans="1:14" x14ac:dyDescent="0.3">
      <c r="A298" s="12">
        <v>33327</v>
      </c>
      <c r="B298" s="6">
        <v>0</v>
      </c>
      <c r="C298" s="7"/>
      <c r="D298" s="6">
        <v>8227</v>
      </c>
      <c r="E298" s="7">
        <v>2</v>
      </c>
      <c r="F298" s="7" t="str">
        <f t="shared" si="16"/>
        <v>Y</v>
      </c>
      <c r="G298" s="6">
        <f t="shared" si="17"/>
        <v>411.35</v>
      </c>
      <c r="H298" s="6">
        <f t="shared" si="18"/>
        <v>0</v>
      </c>
      <c r="I298" s="7">
        <v>2</v>
      </c>
      <c r="J298" s="7"/>
      <c r="K298" s="6">
        <f t="shared" si="19"/>
        <v>0</v>
      </c>
      <c r="L298" s="6">
        <f>'Invoice Data'!$B298+'Invoice Data'!$D298-'Invoice Data'!$G298-'Invoice Data'!$K298+'Invoice Data'!$H298</f>
        <v>7815.65</v>
      </c>
      <c r="M298" s="6" t="e">
        <f>VLOOKUP('Invoice Data'!$A298,BPay!$B$4:$D$10,3,0)</f>
        <v>#N/A</v>
      </c>
      <c r="N298" s="8"/>
    </row>
    <row r="299" spans="1:14" x14ac:dyDescent="0.3">
      <c r="A299" s="12">
        <v>33336</v>
      </c>
      <c r="B299" s="6">
        <v>0</v>
      </c>
      <c r="C299" s="7"/>
      <c r="D299" s="6">
        <v>6596</v>
      </c>
      <c r="E299" s="7">
        <v>2</v>
      </c>
      <c r="F299" s="7" t="str">
        <f t="shared" si="16"/>
        <v>Y</v>
      </c>
      <c r="G299" s="6">
        <f t="shared" si="17"/>
        <v>329.8</v>
      </c>
      <c r="H299" s="6">
        <f t="shared" si="18"/>
        <v>0</v>
      </c>
      <c r="I299" s="7">
        <v>2</v>
      </c>
      <c r="J299" s="7"/>
      <c r="K299" s="6">
        <f t="shared" si="19"/>
        <v>0</v>
      </c>
      <c r="L299" s="6">
        <f>'Invoice Data'!$B299+'Invoice Data'!$D299-'Invoice Data'!$G299-'Invoice Data'!$K299+'Invoice Data'!$H299</f>
        <v>6266.2</v>
      </c>
      <c r="M299" s="6" t="e">
        <f>VLOOKUP('Invoice Data'!$A299,BPay!$B$4:$D$10,3,0)</f>
        <v>#N/A</v>
      </c>
      <c r="N299" s="8"/>
    </row>
    <row r="300" spans="1:14" x14ac:dyDescent="0.3">
      <c r="A300" s="12">
        <v>33345</v>
      </c>
      <c r="B300" s="6">
        <v>0</v>
      </c>
      <c r="C300" s="7"/>
      <c r="D300" s="6">
        <v>4734</v>
      </c>
      <c r="E300" s="7">
        <v>1</v>
      </c>
      <c r="F300" s="7" t="str">
        <f t="shared" si="16"/>
        <v/>
      </c>
      <c r="G300" s="6">
        <f t="shared" si="17"/>
        <v>0</v>
      </c>
      <c r="H300" s="6">
        <f t="shared" si="18"/>
        <v>0</v>
      </c>
      <c r="I300" s="7">
        <v>11</v>
      </c>
      <c r="J300" s="7"/>
      <c r="K300" s="6">
        <f t="shared" si="19"/>
        <v>0</v>
      </c>
      <c r="L300" s="6">
        <f>'Invoice Data'!$B300+'Invoice Data'!$D300-'Invoice Data'!$G300-'Invoice Data'!$K300+'Invoice Data'!$H300</f>
        <v>4734</v>
      </c>
      <c r="M300" s="6" t="e">
        <f>VLOOKUP('Invoice Data'!$A300,BPay!$B$4:$D$10,3,0)</f>
        <v>#N/A</v>
      </c>
      <c r="N300" s="8"/>
    </row>
    <row r="301" spans="1:14" x14ac:dyDescent="0.3">
      <c r="A301" s="12">
        <v>33354</v>
      </c>
      <c r="B301" s="6">
        <v>0</v>
      </c>
      <c r="C301" s="7"/>
      <c r="D301" s="6">
        <v>5112</v>
      </c>
      <c r="E301" s="7">
        <v>1</v>
      </c>
      <c r="F301" s="7" t="str">
        <f t="shared" si="16"/>
        <v/>
      </c>
      <c r="G301" s="6">
        <f t="shared" si="17"/>
        <v>0</v>
      </c>
      <c r="H301" s="6">
        <f t="shared" si="18"/>
        <v>0</v>
      </c>
      <c r="I301" s="7">
        <v>8</v>
      </c>
      <c r="J301" s="7"/>
      <c r="K301" s="6">
        <f t="shared" si="19"/>
        <v>0</v>
      </c>
      <c r="L301" s="6">
        <f>'Invoice Data'!$B301+'Invoice Data'!$D301-'Invoice Data'!$G301-'Invoice Data'!$K301+'Invoice Data'!$H301</f>
        <v>5112</v>
      </c>
      <c r="M301" s="6" t="e">
        <f>VLOOKUP('Invoice Data'!$A301,BPay!$B$4:$D$10,3,0)</f>
        <v>#N/A</v>
      </c>
      <c r="N301" s="8"/>
    </row>
    <row r="302" spans="1:14" x14ac:dyDescent="0.3">
      <c r="A302" s="12">
        <v>33363</v>
      </c>
      <c r="B302" s="6">
        <v>0</v>
      </c>
      <c r="C302" s="7"/>
      <c r="D302" s="6">
        <v>8008</v>
      </c>
      <c r="E302" s="7">
        <v>2</v>
      </c>
      <c r="F302" s="7" t="str">
        <f t="shared" si="16"/>
        <v>Y</v>
      </c>
      <c r="G302" s="6">
        <f t="shared" si="17"/>
        <v>400.40000000000003</v>
      </c>
      <c r="H302" s="6">
        <f t="shared" si="18"/>
        <v>0</v>
      </c>
      <c r="I302" s="7">
        <v>7</v>
      </c>
      <c r="J302" s="7"/>
      <c r="K302" s="6">
        <f t="shared" si="19"/>
        <v>0</v>
      </c>
      <c r="L302" s="6">
        <f>'Invoice Data'!$B302+'Invoice Data'!$D302-'Invoice Data'!$G302-'Invoice Data'!$K302+'Invoice Data'!$H302</f>
        <v>7607.6</v>
      </c>
      <c r="M302" s="6" t="e">
        <f>VLOOKUP('Invoice Data'!$A302,BPay!$B$4:$D$10,3,0)</f>
        <v>#N/A</v>
      </c>
      <c r="N302" s="8"/>
    </row>
    <row r="303" spans="1:14" x14ac:dyDescent="0.3">
      <c r="A303" s="12">
        <v>33372</v>
      </c>
      <c r="B303" s="6">
        <v>0</v>
      </c>
      <c r="C303" s="7"/>
      <c r="D303" s="6">
        <v>8232</v>
      </c>
      <c r="E303" s="7">
        <v>2</v>
      </c>
      <c r="F303" s="7" t="str">
        <f t="shared" si="16"/>
        <v>Y</v>
      </c>
      <c r="G303" s="6">
        <f t="shared" si="17"/>
        <v>411.6</v>
      </c>
      <c r="H303" s="6">
        <f t="shared" si="18"/>
        <v>0</v>
      </c>
      <c r="I303" s="7">
        <v>6</v>
      </c>
      <c r="J303" s="7"/>
      <c r="K303" s="6">
        <f t="shared" si="19"/>
        <v>0</v>
      </c>
      <c r="L303" s="6">
        <f>'Invoice Data'!$B303+'Invoice Data'!$D303-'Invoice Data'!$G303-'Invoice Data'!$K303+'Invoice Data'!$H303</f>
        <v>7820.4</v>
      </c>
      <c r="M303" s="6" t="e">
        <f>VLOOKUP('Invoice Data'!$A303,BPay!$B$4:$D$10,3,0)</f>
        <v>#N/A</v>
      </c>
      <c r="N303" s="8"/>
    </row>
    <row r="304" spans="1:14" x14ac:dyDescent="0.3">
      <c r="A304" s="12">
        <v>33381</v>
      </c>
      <c r="B304" s="6">
        <v>0</v>
      </c>
      <c r="C304" s="7"/>
      <c r="D304" s="6">
        <v>9214</v>
      </c>
      <c r="E304" s="7">
        <v>2</v>
      </c>
      <c r="F304" s="7" t="str">
        <f t="shared" si="16"/>
        <v>Y</v>
      </c>
      <c r="G304" s="6">
        <f t="shared" si="17"/>
        <v>460.70000000000005</v>
      </c>
      <c r="H304" s="6">
        <f t="shared" si="18"/>
        <v>0</v>
      </c>
      <c r="I304" s="7">
        <v>11</v>
      </c>
      <c r="J304" s="7"/>
      <c r="K304" s="6">
        <f t="shared" si="19"/>
        <v>0</v>
      </c>
      <c r="L304" s="6">
        <f>'Invoice Data'!$B304+'Invoice Data'!$D304-'Invoice Data'!$G304-'Invoice Data'!$K304+'Invoice Data'!$H304</f>
        <v>8753.2999999999993</v>
      </c>
      <c r="M304" s="6" t="e">
        <f>VLOOKUP('Invoice Data'!$A304,BPay!$B$4:$D$10,3,0)</f>
        <v>#N/A</v>
      </c>
      <c r="N304" s="8"/>
    </row>
    <row r="305" spans="1:14" x14ac:dyDescent="0.3">
      <c r="A305" s="12">
        <v>33390</v>
      </c>
      <c r="B305" s="6">
        <v>0</v>
      </c>
      <c r="C305" s="7"/>
      <c r="D305" s="6">
        <v>8796</v>
      </c>
      <c r="E305" s="7">
        <v>2</v>
      </c>
      <c r="F305" s="7" t="str">
        <f t="shared" si="16"/>
        <v>Y</v>
      </c>
      <c r="G305" s="6">
        <f t="shared" si="17"/>
        <v>439.8</v>
      </c>
      <c r="H305" s="6">
        <f t="shared" si="18"/>
        <v>0</v>
      </c>
      <c r="I305" s="7">
        <v>8</v>
      </c>
      <c r="J305" s="7"/>
      <c r="K305" s="6">
        <f t="shared" si="19"/>
        <v>0</v>
      </c>
      <c r="L305" s="6">
        <f>'Invoice Data'!$B305+'Invoice Data'!$D305-'Invoice Data'!$G305-'Invoice Data'!$K305+'Invoice Data'!$H305</f>
        <v>8356.2000000000007</v>
      </c>
      <c r="M305" s="6" t="e">
        <f>VLOOKUP('Invoice Data'!$A305,BPay!$B$4:$D$10,3,0)</f>
        <v>#N/A</v>
      </c>
      <c r="N305" s="8"/>
    </row>
    <row r="306" spans="1:14" x14ac:dyDescent="0.3">
      <c r="A306" s="12">
        <v>33407</v>
      </c>
      <c r="B306" s="6">
        <v>0</v>
      </c>
      <c r="C306" s="7"/>
      <c r="D306" s="6">
        <v>4030</v>
      </c>
      <c r="E306" s="7">
        <v>1</v>
      </c>
      <c r="F306" s="7" t="str">
        <f t="shared" si="16"/>
        <v/>
      </c>
      <c r="G306" s="6">
        <f t="shared" si="17"/>
        <v>0</v>
      </c>
      <c r="H306" s="6">
        <f t="shared" si="18"/>
        <v>0</v>
      </c>
      <c r="I306" s="7">
        <v>10</v>
      </c>
      <c r="J306" s="7"/>
      <c r="K306" s="6">
        <f t="shared" si="19"/>
        <v>0</v>
      </c>
      <c r="L306" s="6">
        <f>'Invoice Data'!$B306+'Invoice Data'!$D306-'Invoice Data'!$G306-'Invoice Data'!$K306+'Invoice Data'!$H306</f>
        <v>4030</v>
      </c>
      <c r="M306" s="6" t="e">
        <f>VLOOKUP('Invoice Data'!$A306,BPay!$B$4:$D$10,3,0)</f>
        <v>#N/A</v>
      </c>
      <c r="N306" s="8"/>
    </row>
    <row r="307" spans="1:14" x14ac:dyDescent="0.3">
      <c r="A307" s="12">
        <v>33416</v>
      </c>
      <c r="B307" s="6">
        <v>0</v>
      </c>
      <c r="C307" s="7"/>
      <c r="D307" s="6">
        <v>3877</v>
      </c>
      <c r="E307" s="7">
        <v>1</v>
      </c>
      <c r="F307" s="7" t="str">
        <f t="shared" si="16"/>
        <v/>
      </c>
      <c r="G307" s="6">
        <f t="shared" si="17"/>
        <v>0</v>
      </c>
      <c r="H307" s="6">
        <f t="shared" si="18"/>
        <v>0</v>
      </c>
      <c r="I307" s="7">
        <v>6</v>
      </c>
      <c r="J307" s="7"/>
      <c r="K307" s="6">
        <f t="shared" si="19"/>
        <v>0</v>
      </c>
      <c r="L307" s="6">
        <f>'Invoice Data'!$B307+'Invoice Data'!$D307-'Invoice Data'!$G307-'Invoice Data'!$K307+'Invoice Data'!$H307</f>
        <v>3877</v>
      </c>
      <c r="M307" s="6" t="e">
        <f>VLOOKUP('Invoice Data'!$A307,BPay!$B$4:$D$10,3,0)</f>
        <v>#N/A</v>
      </c>
      <c r="N307" s="8"/>
    </row>
    <row r="308" spans="1:14" x14ac:dyDescent="0.3">
      <c r="A308" s="12">
        <v>33425</v>
      </c>
      <c r="B308" s="6">
        <v>0</v>
      </c>
      <c r="C308" s="7"/>
      <c r="D308" s="6">
        <v>8711</v>
      </c>
      <c r="E308" s="7">
        <v>2</v>
      </c>
      <c r="F308" s="7" t="str">
        <f t="shared" si="16"/>
        <v>Y</v>
      </c>
      <c r="G308" s="6">
        <f t="shared" si="17"/>
        <v>435.55</v>
      </c>
      <c r="H308" s="6">
        <f t="shared" si="18"/>
        <v>0</v>
      </c>
      <c r="I308" s="7">
        <v>11</v>
      </c>
      <c r="J308" s="7"/>
      <c r="K308" s="6">
        <f t="shared" si="19"/>
        <v>0</v>
      </c>
      <c r="L308" s="6">
        <f>'Invoice Data'!$B308+'Invoice Data'!$D308-'Invoice Data'!$G308-'Invoice Data'!$K308+'Invoice Data'!$H308</f>
        <v>8275.4500000000007</v>
      </c>
      <c r="M308" s="6" t="e">
        <f>VLOOKUP('Invoice Data'!$A308,BPay!$B$4:$D$10,3,0)</f>
        <v>#N/A</v>
      </c>
      <c r="N308" s="8"/>
    </row>
    <row r="309" spans="1:14" x14ac:dyDescent="0.3">
      <c r="A309" s="12">
        <v>33434</v>
      </c>
      <c r="B309" s="6">
        <v>0</v>
      </c>
      <c r="C309" s="7"/>
      <c r="D309" s="6">
        <v>5231</v>
      </c>
      <c r="E309" s="7">
        <v>1</v>
      </c>
      <c r="F309" s="7" t="str">
        <f t="shared" si="16"/>
        <v/>
      </c>
      <c r="G309" s="6">
        <f t="shared" si="17"/>
        <v>0</v>
      </c>
      <c r="H309" s="6">
        <f t="shared" si="18"/>
        <v>0</v>
      </c>
      <c r="I309" s="7">
        <v>14</v>
      </c>
      <c r="J309" s="7"/>
      <c r="K309" s="6">
        <f t="shared" si="19"/>
        <v>0</v>
      </c>
      <c r="L309" s="6">
        <f>'Invoice Data'!$B309+'Invoice Data'!$D309-'Invoice Data'!$G309-'Invoice Data'!$K309+'Invoice Data'!$H309</f>
        <v>5231</v>
      </c>
      <c r="M309" s="6" t="e">
        <f>VLOOKUP('Invoice Data'!$A309,BPay!$B$4:$D$10,3,0)</f>
        <v>#N/A</v>
      </c>
      <c r="N309" s="8"/>
    </row>
    <row r="310" spans="1:14" x14ac:dyDescent="0.3">
      <c r="A310" s="12">
        <v>33443</v>
      </c>
      <c r="B310" s="6">
        <v>0</v>
      </c>
      <c r="C310" s="7"/>
      <c r="D310" s="6">
        <v>6951</v>
      </c>
      <c r="E310" s="7">
        <v>2</v>
      </c>
      <c r="F310" s="7" t="str">
        <f t="shared" si="16"/>
        <v>Y</v>
      </c>
      <c r="G310" s="6">
        <f t="shared" si="17"/>
        <v>347.55</v>
      </c>
      <c r="H310" s="6">
        <f t="shared" si="18"/>
        <v>0</v>
      </c>
      <c r="I310" s="7">
        <v>7</v>
      </c>
      <c r="J310" s="7"/>
      <c r="K310" s="6">
        <f t="shared" si="19"/>
        <v>0</v>
      </c>
      <c r="L310" s="6">
        <f>'Invoice Data'!$B310+'Invoice Data'!$D310-'Invoice Data'!$G310-'Invoice Data'!$K310+'Invoice Data'!$H310</f>
        <v>6603.45</v>
      </c>
      <c r="M310" s="6" t="e">
        <f>VLOOKUP('Invoice Data'!$A310,BPay!$B$4:$D$10,3,0)</f>
        <v>#N/A</v>
      </c>
      <c r="N310" s="8"/>
    </row>
    <row r="311" spans="1:14" x14ac:dyDescent="0.3">
      <c r="A311" s="12">
        <v>33452</v>
      </c>
      <c r="B311" s="6">
        <v>0</v>
      </c>
      <c r="C311" s="7"/>
      <c r="D311" s="6">
        <v>10132</v>
      </c>
      <c r="E311" s="7">
        <v>2</v>
      </c>
      <c r="F311" s="7" t="str">
        <f t="shared" si="16"/>
        <v>Y</v>
      </c>
      <c r="G311" s="6">
        <f t="shared" si="17"/>
        <v>506.6</v>
      </c>
      <c r="H311" s="6">
        <f t="shared" si="18"/>
        <v>0</v>
      </c>
      <c r="I311" s="7">
        <v>10</v>
      </c>
      <c r="J311" s="7"/>
      <c r="K311" s="6">
        <f t="shared" si="19"/>
        <v>0</v>
      </c>
      <c r="L311" s="6">
        <f>'Invoice Data'!$B311+'Invoice Data'!$D311-'Invoice Data'!$G311-'Invoice Data'!$K311+'Invoice Data'!$H311</f>
        <v>9625.4</v>
      </c>
      <c r="M311" s="6" t="e">
        <f>VLOOKUP('Invoice Data'!$A311,BPay!$B$4:$D$10,3,0)</f>
        <v>#N/A</v>
      </c>
      <c r="N311" s="8"/>
    </row>
    <row r="312" spans="1:14" x14ac:dyDescent="0.3">
      <c r="A312" s="12">
        <v>33461</v>
      </c>
      <c r="B312" s="6">
        <v>0</v>
      </c>
      <c r="C312" s="7"/>
      <c r="D312" s="6">
        <v>5341</v>
      </c>
      <c r="E312" s="7">
        <v>1</v>
      </c>
      <c r="F312" s="7" t="str">
        <f t="shared" si="16"/>
        <v/>
      </c>
      <c r="G312" s="6">
        <f t="shared" si="17"/>
        <v>0</v>
      </c>
      <c r="H312" s="6">
        <f t="shared" si="18"/>
        <v>0</v>
      </c>
      <c r="I312" s="7">
        <v>10</v>
      </c>
      <c r="J312" s="7"/>
      <c r="K312" s="6">
        <f t="shared" si="19"/>
        <v>0</v>
      </c>
      <c r="L312" s="6">
        <f>'Invoice Data'!$B312+'Invoice Data'!$D312-'Invoice Data'!$G312-'Invoice Data'!$K312+'Invoice Data'!$H312</f>
        <v>5341</v>
      </c>
      <c r="M312" s="6" t="e">
        <f>VLOOKUP('Invoice Data'!$A312,BPay!$B$4:$D$10,3,0)</f>
        <v>#N/A</v>
      </c>
      <c r="N312" s="8"/>
    </row>
    <row r="313" spans="1:14" x14ac:dyDescent="0.3">
      <c r="A313" s="12">
        <v>33470</v>
      </c>
      <c r="B313" s="6">
        <v>0</v>
      </c>
      <c r="C313" s="7"/>
      <c r="D313" s="6">
        <v>7625</v>
      </c>
      <c r="E313" s="7">
        <v>2</v>
      </c>
      <c r="F313" s="7" t="str">
        <f t="shared" si="16"/>
        <v>Y</v>
      </c>
      <c r="G313" s="6">
        <f t="shared" si="17"/>
        <v>381.25</v>
      </c>
      <c r="H313" s="6">
        <f t="shared" si="18"/>
        <v>0</v>
      </c>
      <c r="I313" s="7">
        <v>12</v>
      </c>
      <c r="J313" s="7"/>
      <c r="K313" s="6">
        <f t="shared" si="19"/>
        <v>0</v>
      </c>
      <c r="L313" s="6">
        <f>'Invoice Data'!$B313+'Invoice Data'!$D313-'Invoice Data'!$G313-'Invoice Data'!$K313+'Invoice Data'!$H313</f>
        <v>7243.75</v>
      </c>
      <c r="M313" s="6" t="e">
        <f>VLOOKUP('Invoice Data'!$A313,BPay!$B$4:$D$10,3,0)</f>
        <v>#N/A</v>
      </c>
      <c r="N313" s="8"/>
    </row>
    <row r="314" spans="1:14" x14ac:dyDescent="0.3">
      <c r="A314" s="12">
        <v>33489</v>
      </c>
      <c r="B314" s="6">
        <v>0</v>
      </c>
      <c r="C314" s="7"/>
      <c r="D314" s="6">
        <v>4093</v>
      </c>
      <c r="E314" s="7">
        <v>1</v>
      </c>
      <c r="F314" s="7" t="str">
        <f t="shared" si="16"/>
        <v/>
      </c>
      <c r="G314" s="6">
        <f t="shared" si="17"/>
        <v>0</v>
      </c>
      <c r="H314" s="6">
        <f t="shared" si="18"/>
        <v>0</v>
      </c>
      <c r="I314" s="7">
        <v>4</v>
      </c>
      <c r="J314" s="7"/>
      <c r="K314" s="6">
        <f t="shared" si="19"/>
        <v>0</v>
      </c>
      <c r="L314" s="6">
        <f>'Invoice Data'!$B314+'Invoice Data'!$D314-'Invoice Data'!$G314-'Invoice Data'!$K314+'Invoice Data'!$H314</f>
        <v>4093</v>
      </c>
      <c r="M314" s="6" t="e">
        <f>VLOOKUP('Invoice Data'!$A314,BPay!$B$4:$D$10,3,0)</f>
        <v>#N/A</v>
      </c>
      <c r="N314" s="8"/>
    </row>
    <row r="315" spans="1:14" x14ac:dyDescent="0.3">
      <c r="A315" s="12">
        <v>33498</v>
      </c>
      <c r="B315" s="6">
        <v>0</v>
      </c>
      <c r="C315" s="7"/>
      <c r="D315" s="6">
        <v>3696</v>
      </c>
      <c r="E315" s="7">
        <v>1</v>
      </c>
      <c r="F315" s="7" t="str">
        <f t="shared" si="16"/>
        <v/>
      </c>
      <c r="G315" s="6">
        <f t="shared" si="17"/>
        <v>0</v>
      </c>
      <c r="H315" s="6">
        <f t="shared" si="18"/>
        <v>0</v>
      </c>
      <c r="I315" s="7">
        <v>15</v>
      </c>
      <c r="J315" s="7"/>
      <c r="K315" s="6">
        <f t="shared" si="19"/>
        <v>0</v>
      </c>
      <c r="L315" s="6">
        <f>'Invoice Data'!$B315+'Invoice Data'!$D315-'Invoice Data'!$G315-'Invoice Data'!$K315+'Invoice Data'!$H315</f>
        <v>3696</v>
      </c>
      <c r="M315" s="6" t="e">
        <f>VLOOKUP('Invoice Data'!$A315,BPay!$B$4:$D$10,3,0)</f>
        <v>#N/A</v>
      </c>
      <c r="N315" s="8"/>
    </row>
    <row r="316" spans="1:14" x14ac:dyDescent="0.3">
      <c r="A316" s="12">
        <v>33504</v>
      </c>
      <c r="B316" s="6">
        <v>0</v>
      </c>
      <c r="C316" s="7"/>
      <c r="D316" s="6">
        <v>7887</v>
      </c>
      <c r="E316" s="7">
        <v>2</v>
      </c>
      <c r="F316" s="7" t="str">
        <f t="shared" si="16"/>
        <v>Y</v>
      </c>
      <c r="G316" s="6">
        <f t="shared" si="17"/>
        <v>394.35</v>
      </c>
      <c r="H316" s="6">
        <f t="shared" si="18"/>
        <v>0</v>
      </c>
      <c r="I316" s="7">
        <v>1</v>
      </c>
      <c r="J316" s="7"/>
      <c r="K316" s="6">
        <f t="shared" si="19"/>
        <v>0</v>
      </c>
      <c r="L316" s="6">
        <f>'Invoice Data'!$B316+'Invoice Data'!$D316-'Invoice Data'!$G316-'Invoice Data'!$K316+'Invoice Data'!$H316</f>
        <v>7492.65</v>
      </c>
      <c r="M316" s="6" t="e">
        <f>VLOOKUP('Invoice Data'!$A316,BPay!$B$4:$D$10,3,0)</f>
        <v>#N/A</v>
      </c>
      <c r="N316" s="8"/>
    </row>
    <row r="317" spans="1:14" x14ac:dyDescent="0.3">
      <c r="A317" s="12">
        <v>33513</v>
      </c>
      <c r="B317" s="6">
        <v>0</v>
      </c>
      <c r="C317" s="7"/>
      <c r="D317" s="6">
        <v>8749</v>
      </c>
      <c r="E317" s="7">
        <v>2</v>
      </c>
      <c r="F317" s="7" t="str">
        <f t="shared" si="16"/>
        <v>Y</v>
      </c>
      <c r="G317" s="6">
        <f t="shared" si="17"/>
        <v>437.45000000000005</v>
      </c>
      <c r="H317" s="6">
        <f t="shared" si="18"/>
        <v>0</v>
      </c>
      <c r="I317" s="7">
        <v>2</v>
      </c>
      <c r="J317" s="7"/>
      <c r="K317" s="6">
        <f t="shared" si="19"/>
        <v>0</v>
      </c>
      <c r="L317" s="6">
        <f>'Invoice Data'!$B317+'Invoice Data'!$D317-'Invoice Data'!$G317-'Invoice Data'!$K317+'Invoice Data'!$H317</f>
        <v>8311.5499999999993</v>
      </c>
      <c r="M317" s="6" t="e">
        <f>VLOOKUP('Invoice Data'!$A317,BPay!$B$4:$D$10,3,0)</f>
        <v>#N/A</v>
      </c>
      <c r="N317" s="8"/>
    </row>
    <row r="318" spans="1:14" x14ac:dyDescent="0.3">
      <c r="A318" s="12">
        <v>33522</v>
      </c>
      <c r="B318" s="6">
        <v>0</v>
      </c>
      <c r="C318" s="7"/>
      <c r="D318" s="6">
        <v>4712</v>
      </c>
      <c r="E318" s="7">
        <v>1</v>
      </c>
      <c r="F318" s="7" t="str">
        <f t="shared" si="16"/>
        <v/>
      </c>
      <c r="G318" s="6">
        <f t="shared" si="17"/>
        <v>0</v>
      </c>
      <c r="H318" s="6">
        <f t="shared" si="18"/>
        <v>0</v>
      </c>
      <c r="I318" s="7">
        <v>0</v>
      </c>
      <c r="J318" s="7"/>
      <c r="K318" s="6">
        <f t="shared" si="19"/>
        <v>0</v>
      </c>
      <c r="L318" s="6">
        <f>'Invoice Data'!$B318+'Invoice Data'!$D318-'Invoice Data'!$G318-'Invoice Data'!$K318+'Invoice Data'!$H318</f>
        <v>4712</v>
      </c>
      <c r="M318" s="6" t="e">
        <f>VLOOKUP('Invoice Data'!$A318,BPay!$B$4:$D$10,3,0)</f>
        <v>#N/A</v>
      </c>
      <c r="N318" s="8"/>
    </row>
    <row r="319" spans="1:14" x14ac:dyDescent="0.3">
      <c r="A319" s="12">
        <v>33531</v>
      </c>
      <c r="B319" s="6">
        <v>0</v>
      </c>
      <c r="C319" s="7"/>
      <c r="D319" s="6">
        <v>3181</v>
      </c>
      <c r="E319" s="7">
        <v>1</v>
      </c>
      <c r="F319" s="7" t="str">
        <f t="shared" si="16"/>
        <v/>
      </c>
      <c r="G319" s="6">
        <f t="shared" si="17"/>
        <v>0</v>
      </c>
      <c r="H319" s="6">
        <f t="shared" si="18"/>
        <v>0</v>
      </c>
      <c r="I319" s="7">
        <v>13</v>
      </c>
      <c r="J319" s="7"/>
      <c r="K319" s="6">
        <f t="shared" si="19"/>
        <v>0</v>
      </c>
      <c r="L319" s="6">
        <f>'Invoice Data'!$B319+'Invoice Data'!$D319-'Invoice Data'!$G319-'Invoice Data'!$K319+'Invoice Data'!$H319</f>
        <v>3181</v>
      </c>
      <c r="M319" s="6" t="e">
        <f>VLOOKUP('Invoice Data'!$A319,BPay!$B$4:$D$10,3,0)</f>
        <v>#N/A</v>
      </c>
      <c r="N319" s="8"/>
    </row>
    <row r="320" spans="1:14" x14ac:dyDescent="0.3">
      <c r="A320" s="12">
        <v>33540</v>
      </c>
      <c r="B320" s="6">
        <v>0</v>
      </c>
      <c r="C320" s="7"/>
      <c r="D320" s="6">
        <v>10031</v>
      </c>
      <c r="E320" s="7">
        <v>2</v>
      </c>
      <c r="F320" s="7" t="str">
        <f t="shared" si="16"/>
        <v>Y</v>
      </c>
      <c r="G320" s="6">
        <f t="shared" si="17"/>
        <v>501.55</v>
      </c>
      <c r="H320" s="6">
        <f t="shared" si="18"/>
        <v>0</v>
      </c>
      <c r="I320" s="7">
        <v>13</v>
      </c>
      <c r="J320" s="7"/>
      <c r="K320" s="6">
        <f t="shared" si="19"/>
        <v>0</v>
      </c>
      <c r="L320" s="6">
        <f>'Invoice Data'!$B320+'Invoice Data'!$D320-'Invoice Data'!$G320-'Invoice Data'!$K320+'Invoice Data'!$H320</f>
        <v>9529.4500000000007</v>
      </c>
      <c r="M320" s="6" t="e">
        <f>VLOOKUP('Invoice Data'!$A320,BPay!$B$4:$D$10,3,0)</f>
        <v>#N/A</v>
      </c>
      <c r="N320" s="8"/>
    </row>
    <row r="321" spans="1:14" x14ac:dyDescent="0.3">
      <c r="A321" s="12">
        <v>33559</v>
      </c>
      <c r="B321" s="6">
        <v>0</v>
      </c>
      <c r="C321" s="7"/>
      <c r="D321" s="6">
        <v>5120</v>
      </c>
      <c r="E321" s="7">
        <v>1</v>
      </c>
      <c r="F321" s="7" t="str">
        <f t="shared" si="16"/>
        <v/>
      </c>
      <c r="G321" s="6">
        <f t="shared" si="17"/>
        <v>0</v>
      </c>
      <c r="H321" s="6">
        <f t="shared" si="18"/>
        <v>0</v>
      </c>
      <c r="I321" s="7">
        <v>8</v>
      </c>
      <c r="J321" s="7"/>
      <c r="K321" s="6">
        <f t="shared" si="19"/>
        <v>0</v>
      </c>
      <c r="L321" s="6">
        <f>'Invoice Data'!$B321+'Invoice Data'!$D321-'Invoice Data'!$G321-'Invoice Data'!$K321+'Invoice Data'!$H321</f>
        <v>5120</v>
      </c>
      <c r="M321" s="6" t="e">
        <f>VLOOKUP('Invoice Data'!$A321,BPay!$B$4:$D$10,3,0)</f>
        <v>#N/A</v>
      </c>
      <c r="N321" s="8"/>
    </row>
    <row r="322" spans="1:14" x14ac:dyDescent="0.3">
      <c r="A322" s="12">
        <v>33568</v>
      </c>
      <c r="B322" s="6">
        <v>0</v>
      </c>
      <c r="C322" s="7"/>
      <c r="D322" s="6">
        <v>9001</v>
      </c>
      <c r="E322" s="7">
        <v>2</v>
      </c>
      <c r="F322" s="7" t="str">
        <f t="shared" si="16"/>
        <v>Y</v>
      </c>
      <c r="G322" s="6">
        <f t="shared" si="17"/>
        <v>450.05</v>
      </c>
      <c r="H322" s="6">
        <f t="shared" si="18"/>
        <v>0</v>
      </c>
      <c r="I322" s="7">
        <v>13</v>
      </c>
      <c r="J322" s="7"/>
      <c r="K322" s="6">
        <f t="shared" si="19"/>
        <v>0</v>
      </c>
      <c r="L322" s="6">
        <f>'Invoice Data'!$B322+'Invoice Data'!$D322-'Invoice Data'!$G322-'Invoice Data'!$K322+'Invoice Data'!$H322</f>
        <v>8550.9500000000007</v>
      </c>
      <c r="M322" s="6" t="e">
        <f>VLOOKUP('Invoice Data'!$A322,BPay!$B$4:$D$10,3,0)</f>
        <v>#N/A</v>
      </c>
      <c r="N322" s="8"/>
    </row>
    <row r="323" spans="1:14" x14ac:dyDescent="0.3">
      <c r="A323" s="12">
        <v>33577</v>
      </c>
      <c r="B323" s="6">
        <v>0</v>
      </c>
      <c r="C323" s="7"/>
      <c r="D323" s="6">
        <v>9600</v>
      </c>
      <c r="E323" s="7">
        <v>2</v>
      </c>
      <c r="F323" s="7" t="str">
        <f t="shared" si="16"/>
        <v>Y</v>
      </c>
      <c r="G323" s="6">
        <f t="shared" si="17"/>
        <v>480</v>
      </c>
      <c r="H323" s="6">
        <f t="shared" si="18"/>
        <v>0</v>
      </c>
      <c r="I323" s="7">
        <v>12</v>
      </c>
      <c r="J323" s="7"/>
      <c r="K323" s="6">
        <f t="shared" si="19"/>
        <v>0</v>
      </c>
      <c r="L323" s="6">
        <f>'Invoice Data'!$B323+'Invoice Data'!$D323-'Invoice Data'!$G323-'Invoice Data'!$K323+'Invoice Data'!$H323</f>
        <v>9120</v>
      </c>
      <c r="M323" s="6" t="e">
        <f>VLOOKUP('Invoice Data'!$A323,BPay!$B$4:$D$10,3,0)</f>
        <v>#N/A</v>
      </c>
      <c r="N323" s="8"/>
    </row>
    <row r="324" spans="1:14" x14ac:dyDescent="0.3">
      <c r="A324" s="12">
        <v>33586</v>
      </c>
      <c r="B324" s="6">
        <v>-1802</v>
      </c>
      <c r="C324" s="7"/>
      <c r="D324" s="6">
        <v>6356</v>
      </c>
      <c r="E324" s="7">
        <v>2</v>
      </c>
      <c r="F324" s="7" t="str">
        <f t="shared" si="16"/>
        <v>Y</v>
      </c>
      <c r="G324" s="6">
        <f t="shared" si="17"/>
        <v>317.8</v>
      </c>
      <c r="H324" s="6">
        <f t="shared" si="18"/>
        <v>0</v>
      </c>
      <c r="I324" s="7">
        <v>0</v>
      </c>
      <c r="J324" s="7"/>
      <c r="K324" s="6">
        <f t="shared" si="19"/>
        <v>0</v>
      </c>
      <c r="L324" s="6">
        <f>'Invoice Data'!$B324+'Invoice Data'!$D324-'Invoice Data'!$G324-'Invoice Data'!$K324+'Invoice Data'!$H324</f>
        <v>4236.2</v>
      </c>
      <c r="M324" s="6" t="e">
        <f>VLOOKUP('Invoice Data'!$A324,BPay!$B$4:$D$10,3,0)</f>
        <v>#N/A</v>
      </c>
      <c r="N324" s="8"/>
    </row>
    <row r="325" spans="1:14" x14ac:dyDescent="0.3">
      <c r="A325" s="12">
        <v>33595</v>
      </c>
      <c r="B325" s="6">
        <v>0</v>
      </c>
      <c r="C325" s="7"/>
      <c r="D325" s="6">
        <v>5241</v>
      </c>
      <c r="E325" s="7">
        <v>1</v>
      </c>
      <c r="F325" s="7" t="str">
        <f t="shared" si="16"/>
        <v/>
      </c>
      <c r="G325" s="6">
        <f t="shared" si="17"/>
        <v>0</v>
      </c>
      <c r="H325" s="6">
        <f t="shared" si="18"/>
        <v>0</v>
      </c>
      <c r="I325" s="7">
        <v>2</v>
      </c>
      <c r="J325" s="7"/>
      <c r="K325" s="6">
        <f t="shared" si="19"/>
        <v>0</v>
      </c>
      <c r="L325" s="6">
        <f>'Invoice Data'!$B325+'Invoice Data'!$D325-'Invoice Data'!$G325-'Invoice Data'!$K325+'Invoice Data'!$H325</f>
        <v>5241</v>
      </c>
      <c r="M325" s="6" t="e">
        <f>VLOOKUP('Invoice Data'!$A325,BPay!$B$4:$D$10,3,0)</f>
        <v>#N/A</v>
      </c>
      <c r="N325" s="8"/>
    </row>
    <row r="326" spans="1:14" x14ac:dyDescent="0.3">
      <c r="A326" s="12">
        <v>33602</v>
      </c>
      <c r="B326" s="6">
        <v>0</v>
      </c>
      <c r="C326" s="7"/>
      <c r="D326" s="6">
        <v>6363</v>
      </c>
      <c r="E326" s="7">
        <v>2</v>
      </c>
      <c r="F326" s="7" t="str">
        <f t="shared" si="16"/>
        <v>Y</v>
      </c>
      <c r="G326" s="6">
        <f t="shared" si="17"/>
        <v>318.15000000000003</v>
      </c>
      <c r="H326" s="6">
        <f t="shared" si="18"/>
        <v>0</v>
      </c>
      <c r="I326" s="7">
        <v>5</v>
      </c>
      <c r="J326" s="7"/>
      <c r="K326" s="6">
        <f t="shared" si="19"/>
        <v>0</v>
      </c>
      <c r="L326" s="6">
        <f>'Invoice Data'!$B326+'Invoice Data'!$D326-'Invoice Data'!$G326-'Invoice Data'!$K326+'Invoice Data'!$H326</f>
        <v>6044.85</v>
      </c>
      <c r="M326" s="6" t="e">
        <f>VLOOKUP('Invoice Data'!$A326,BPay!$B$4:$D$10,3,0)</f>
        <v>#N/A</v>
      </c>
      <c r="N326" s="8"/>
    </row>
    <row r="327" spans="1:14" x14ac:dyDescent="0.3">
      <c r="A327" s="12">
        <v>33611</v>
      </c>
      <c r="B327" s="6">
        <v>0</v>
      </c>
      <c r="C327" s="7"/>
      <c r="D327" s="6">
        <v>5055</v>
      </c>
      <c r="E327" s="7">
        <v>1</v>
      </c>
      <c r="F327" s="7" t="str">
        <f t="shared" si="16"/>
        <v/>
      </c>
      <c r="G327" s="6">
        <f t="shared" si="17"/>
        <v>0</v>
      </c>
      <c r="H327" s="6">
        <f t="shared" si="18"/>
        <v>0</v>
      </c>
      <c r="I327" s="7">
        <v>3</v>
      </c>
      <c r="J327" s="7"/>
      <c r="K327" s="6">
        <f t="shared" si="19"/>
        <v>0</v>
      </c>
      <c r="L327" s="6">
        <f>'Invoice Data'!$B327+'Invoice Data'!$D327-'Invoice Data'!$G327-'Invoice Data'!$K327+'Invoice Data'!$H327</f>
        <v>5055</v>
      </c>
      <c r="M327" s="6" t="e">
        <f>VLOOKUP('Invoice Data'!$A327,BPay!$B$4:$D$10,3,0)</f>
        <v>#N/A</v>
      </c>
      <c r="N327" s="8"/>
    </row>
    <row r="328" spans="1:14" x14ac:dyDescent="0.3">
      <c r="A328" s="12">
        <v>33620</v>
      </c>
      <c r="B328" s="6">
        <v>3643</v>
      </c>
      <c r="C328" s="7"/>
      <c r="D328" s="6">
        <v>5372</v>
      </c>
      <c r="E328" s="7">
        <v>1</v>
      </c>
      <c r="F328" s="7" t="str">
        <f t="shared" si="16"/>
        <v/>
      </c>
      <c r="G328" s="6">
        <f t="shared" si="17"/>
        <v>0</v>
      </c>
      <c r="H328" s="6">
        <f t="shared" si="18"/>
        <v>364.3</v>
      </c>
      <c r="I328" s="7">
        <v>16</v>
      </c>
      <c r="J328" s="7"/>
      <c r="K328" s="6">
        <f t="shared" si="19"/>
        <v>250</v>
      </c>
      <c r="L328" s="6">
        <f>'Invoice Data'!$B328+'Invoice Data'!$D328-'Invoice Data'!$G328-'Invoice Data'!$K328+'Invoice Data'!$H328</f>
        <v>9129.2999999999993</v>
      </c>
      <c r="M328" s="6" t="e">
        <f>VLOOKUP('Invoice Data'!$A328,BPay!$B$4:$D$10,3,0)</f>
        <v>#N/A</v>
      </c>
      <c r="N328" s="8"/>
    </row>
    <row r="329" spans="1:14" x14ac:dyDescent="0.3">
      <c r="A329" s="12">
        <v>33639</v>
      </c>
      <c r="B329" s="6">
        <v>0</v>
      </c>
      <c r="C329" s="7"/>
      <c r="D329" s="6">
        <v>4105</v>
      </c>
      <c r="E329" s="7">
        <v>1</v>
      </c>
      <c r="F329" s="7" t="str">
        <f t="shared" ref="F329:F392" si="20">IF(E329&gt;=2,"Y", "")</f>
        <v/>
      </c>
      <c r="G329" s="6">
        <f t="shared" ref="G329:G392" si="21">IF(F329="y",D329*5%,0)</f>
        <v>0</v>
      </c>
      <c r="H329" s="6">
        <f t="shared" ref="H329:H392" si="22">IF(AND(B329&gt;0,C329&lt;&gt;"Y"),B329*10%,0)</f>
        <v>0</v>
      </c>
      <c r="I329" s="7">
        <v>5</v>
      </c>
      <c r="J329" s="7"/>
      <c r="K329" s="6">
        <f t="shared" ref="K329:K392" si="23">IF(OR(I329&gt;=16,J329),250,0)</f>
        <v>0</v>
      </c>
      <c r="L329" s="6">
        <f>'Invoice Data'!$B329+'Invoice Data'!$D329-'Invoice Data'!$G329-'Invoice Data'!$K329+'Invoice Data'!$H329</f>
        <v>4105</v>
      </c>
      <c r="M329" s="6" t="e">
        <f>VLOOKUP('Invoice Data'!$A329,BPay!$B$4:$D$10,3,0)</f>
        <v>#N/A</v>
      </c>
      <c r="N329" s="8"/>
    </row>
    <row r="330" spans="1:14" x14ac:dyDescent="0.3">
      <c r="A330" s="12">
        <v>33648</v>
      </c>
      <c r="B330" s="6">
        <v>0</v>
      </c>
      <c r="C330" s="7"/>
      <c r="D330" s="6">
        <v>4867</v>
      </c>
      <c r="E330" s="7">
        <v>1</v>
      </c>
      <c r="F330" s="7" t="str">
        <f t="shared" si="20"/>
        <v/>
      </c>
      <c r="G330" s="6">
        <f t="shared" si="21"/>
        <v>0</v>
      </c>
      <c r="H330" s="6">
        <f t="shared" si="22"/>
        <v>0</v>
      </c>
      <c r="I330" s="7">
        <v>0</v>
      </c>
      <c r="J330" s="7"/>
      <c r="K330" s="6">
        <f t="shared" si="23"/>
        <v>0</v>
      </c>
      <c r="L330" s="6">
        <f>'Invoice Data'!$B330+'Invoice Data'!$D330-'Invoice Data'!$G330-'Invoice Data'!$K330+'Invoice Data'!$H330</f>
        <v>4867</v>
      </c>
      <c r="M330" s="6" t="e">
        <f>VLOOKUP('Invoice Data'!$A330,BPay!$B$4:$D$10,3,0)</f>
        <v>#N/A</v>
      </c>
      <c r="N330" s="8"/>
    </row>
    <row r="331" spans="1:14" x14ac:dyDescent="0.3">
      <c r="A331" s="12">
        <v>33657</v>
      </c>
      <c r="B331" s="6">
        <v>0</v>
      </c>
      <c r="C331" s="7"/>
      <c r="D331" s="6">
        <v>9300</v>
      </c>
      <c r="E331" s="7">
        <v>2</v>
      </c>
      <c r="F331" s="7" t="str">
        <f t="shared" si="20"/>
        <v>Y</v>
      </c>
      <c r="G331" s="6">
        <f t="shared" si="21"/>
        <v>465</v>
      </c>
      <c r="H331" s="6">
        <f t="shared" si="22"/>
        <v>0</v>
      </c>
      <c r="I331" s="7">
        <v>11</v>
      </c>
      <c r="J331" s="7"/>
      <c r="K331" s="6">
        <f t="shared" si="23"/>
        <v>0</v>
      </c>
      <c r="L331" s="6">
        <f>'Invoice Data'!$B331+'Invoice Data'!$D331-'Invoice Data'!$G331-'Invoice Data'!$K331+'Invoice Data'!$H331</f>
        <v>8835</v>
      </c>
      <c r="M331" s="6" t="e">
        <f>VLOOKUP('Invoice Data'!$A331,BPay!$B$4:$D$10,3,0)</f>
        <v>#N/A</v>
      </c>
      <c r="N331" s="8"/>
    </row>
    <row r="332" spans="1:14" x14ac:dyDescent="0.3">
      <c r="A332" s="12">
        <v>33666</v>
      </c>
      <c r="B332" s="6">
        <v>0</v>
      </c>
      <c r="C332" s="7"/>
      <c r="D332" s="6">
        <v>9450</v>
      </c>
      <c r="E332" s="7">
        <v>2</v>
      </c>
      <c r="F332" s="7" t="str">
        <f t="shared" si="20"/>
        <v>Y</v>
      </c>
      <c r="G332" s="6">
        <f t="shared" si="21"/>
        <v>472.5</v>
      </c>
      <c r="H332" s="6">
        <f t="shared" si="22"/>
        <v>0</v>
      </c>
      <c r="I332" s="7">
        <v>2</v>
      </c>
      <c r="J332" s="7"/>
      <c r="K332" s="6">
        <f t="shared" si="23"/>
        <v>0</v>
      </c>
      <c r="L332" s="6">
        <f>'Invoice Data'!$B332+'Invoice Data'!$D332-'Invoice Data'!$G332-'Invoice Data'!$K332+'Invoice Data'!$H332</f>
        <v>8977.5</v>
      </c>
      <c r="M332" s="6" t="e">
        <f>VLOOKUP('Invoice Data'!$A332,BPay!$B$4:$D$10,3,0)</f>
        <v>#N/A</v>
      </c>
      <c r="N332" s="8"/>
    </row>
    <row r="333" spans="1:14" x14ac:dyDescent="0.3">
      <c r="A333" s="12">
        <v>33675</v>
      </c>
      <c r="B333" s="6">
        <v>0</v>
      </c>
      <c r="C333" s="7"/>
      <c r="D333" s="6">
        <v>3920</v>
      </c>
      <c r="E333" s="7">
        <v>1</v>
      </c>
      <c r="F333" s="7" t="str">
        <f t="shared" si="20"/>
        <v/>
      </c>
      <c r="G333" s="6">
        <f t="shared" si="21"/>
        <v>0</v>
      </c>
      <c r="H333" s="6">
        <f t="shared" si="22"/>
        <v>0</v>
      </c>
      <c r="I333" s="7">
        <v>3</v>
      </c>
      <c r="J333" s="7"/>
      <c r="K333" s="6">
        <f t="shared" si="23"/>
        <v>0</v>
      </c>
      <c r="L333" s="6">
        <f>'Invoice Data'!$B333+'Invoice Data'!$D333-'Invoice Data'!$G333-'Invoice Data'!$K333+'Invoice Data'!$H333</f>
        <v>3920</v>
      </c>
      <c r="M333" s="6" t="e">
        <f>VLOOKUP('Invoice Data'!$A333,BPay!$B$4:$D$10,3,0)</f>
        <v>#N/A</v>
      </c>
      <c r="N333" s="8"/>
    </row>
    <row r="334" spans="1:14" x14ac:dyDescent="0.3">
      <c r="A334" s="12">
        <v>33684</v>
      </c>
      <c r="B334" s="6">
        <v>0</v>
      </c>
      <c r="C334" s="7"/>
      <c r="D334" s="6">
        <v>3669</v>
      </c>
      <c r="E334" s="7">
        <v>1</v>
      </c>
      <c r="F334" s="7" t="str">
        <f t="shared" si="20"/>
        <v/>
      </c>
      <c r="G334" s="6">
        <f t="shared" si="21"/>
        <v>0</v>
      </c>
      <c r="H334" s="6">
        <f t="shared" si="22"/>
        <v>0</v>
      </c>
      <c r="I334" s="7">
        <v>1</v>
      </c>
      <c r="J334" s="7"/>
      <c r="K334" s="6">
        <f t="shared" si="23"/>
        <v>0</v>
      </c>
      <c r="L334" s="6">
        <f>'Invoice Data'!$B334+'Invoice Data'!$D334-'Invoice Data'!$G334-'Invoice Data'!$K334+'Invoice Data'!$H334</f>
        <v>3669</v>
      </c>
      <c r="M334" s="6" t="e">
        <f>VLOOKUP('Invoice Data'!$A334,BPay!$B$4:$D$10,3,0)</f>
        <v>#N/A</v>
      </c>
      <c r="N334" s="8"/>
    </row>
    <row r="335" spans="1:14" x14ac:dyDescent="0.3">
      <c r="A335" s="12">
        <v>33693</v>
      </c>
      <c r="B335" s="6">
        <v>0</v>
      </c>
      <c r="C335" s="7"/>
      <c r="D335" s="6">
        <v>4702</v>
      </c>
      <c r="E335" s="7">
        <v>1</v>
      </c>
      <c r="F335" s="7" t="str">
        <f t="shared" si="20"/>
        <v/>
      </c>
      <c r="G335" s="6">
        <f t="shared" si="21"/>
        <v>0</v>
      </c>
      <c r="H335" s="6">
        <f t="shared" si="22"/>
        <v>0</v>
      </c>
      <c r="I335" s="7">
        <v>14</v>
      </c>
      <c r="J335" s="7"/>
      <c r="K335" s="6">
        <f t="shared" si="23"/>
        <v>0</v>
      </c>
      <c r="L335" s="6">
        <f>'Invoice Data'!$B335+'Invoice Data'!$D335-'Invoice Data'!$G335-'Invoice Data'!$K335+'Invoice Data'!$H335</f>
        <v>4702</v>
      </c>
      <c r="M335" s="6" t="e">
        <f>VLOOKUP('Invoice Data'!$A335,BPay!$B$4:$D$10,3,0)</f>
        <v>#N/A</v>
      </c>
      <c r="N335" s="8"/>
    </row>
    <row r="336" spans="1:14" x14ac:dyDescent="0.3">
      <c r="A336" s="12">
        <v>33700</v>
      </c>
      <c r="B336" s="6">
        <v>0</v>
      </c>
      <c r="C336" s="7"/>
      <c r="D336" s="6">
        <v>8455</v>
      </c>
      <c r="E336" s="7">
        <v>2</v>
      </c>
      <c r="F336" s="7" t="str">
        <f t="shared" si="20"/>
        <v>Y</v>
      </c>
      <c r="G336" s="6">
        <f t="shared" si="21"/>
        <v>422.75</v>
      </c>
      <c r="H336" s="6">
        <f t="shared" si="22"/>
        <v>0</v>
      </c>
      <c r="I336" s="7">
        <v>4</v>
      </c>
      <c r="J336" s="7"/>
      <c r="K336" s="6">
        <f t="shared" si="23"/>
        <v>0</v>
      </c>
      <c r="L336" s="6">
        <f>'Invoice Data'!$B336+'Invoice Data'!$D336-'Invoice Data'!$G336-'Invoice Data'!$K336+'Invoice Data'!$H336</f>
        <v>8032.25</v>
      </c>
      <c r="M336" s="6" t="e">
        <f>VLOOKUP('Invoice Data'!$A336,BPay!$B$4:$D$10,3,0)</f>
        <v>#N/A</v>
      </c>
      <c r="N336" s="8"/>
    </row>
    <row r="337" spans="1:14" x14ac:dyDescent="0.3">
      <c r="A337" s="12">
        <v>33719</v>
      </c>
      <c r="B337" s="6">
        <v>0</v>
      </c>
      <c r="C337" s="7"/>
      <c r="D337" s="6">
        <v>3743</v>
      </c>
      <c r="E337" s="7">
        <v>1</v>
      </c>
      <c r="F337" s="7" t="str">
        <f t="shared" si="20"/>
        <v/>
      </c>
      <c r="G337" s="6">
        <f t="shared" si="21"/>
        <v>0</v>
      </c>
      <c r="H337" s="6">
        <f t="shared" si="22"/>
        <v>0</v>
      </c>
      <c r="I337" s="7">
        <v>16</v>
      </c>
      <c r="J337" s="7"/>
      <c r="K337" s="6">
        <f t="shared" si="23"/>
        <v>250</v>
      </c>
      <c r="L337" s="6">
        <f>'Invoice Data'!$B337+'Invoice Data'!$D337-'Invoice Data'!$G337-'Invoice Data'!$K337+'Invoice Data'!$H337</f>
        <v>3493</v>
      </c>
      <c r="M337" s="6" t="e">
        <f>VLOOKUP('Invoice Data'!$A337,BPay!$B$4:$D$10,3,0)</f>
        <v>#N/A</v>
      </c>
      <c r="N337" s="8"/>
    </row>
    <row r="338" spans="1:14" x14ac:dyDescent="0.3">
      <c r="A338" s="12">
        <v>33728</v>
      </c>
      <c r="B338" s="6">
        <v>0</v>
      </c>
      <c r="C338" s="7"/>
      <c r="D338" s="6">
        <v>7860</v>
      </c>
      <c r="E338" s="7">
        <v>2</v>
      </c>
      <c r="F338" s="7" t="str">
        <f t="shared" si="20"/>
        <v>Y</v>
      </c>
      <c r="G338" s="6">
        <f t="shared" si="21"/>
        <v>393</v>
      </c>
      <c r="H338" s="6">
        <f t="shared" si="22"/>
        <v>0</v>
      </c>
      <c r="I338" s="7">
        <v>6</v>
      </c>
      <c r="J338" s="7"/>
      <c r="K338" s="6">
        <f t="shared" si="23"/>
        <v>0</v>
      </c>
      <c r="L338" s="6">
        <f>'Invoice Data'!$B338+'Invoice Data'!$D338-'Invoice Data'!$G338-'Invoice Data'!$K338+'Invoice Data'!$H338</f>
        <v>7467</v>
      </c>
      <c r="M338" s="6" t="e">
        <f>VLOOKUP('Invoice Data'!$A338,BPay!$B$4:$D$10,3,0)</f>
        <v>#N/A</v>
      </c>
      <c r="N338" s="8"/>
    </row>
    <row r="339" spans="1:14" x14ac:dyDescent="0.3">
      <c r="A339" s="12">
        <v>33737</v>
      </c>
      <c r="B339" s="6">
        <v>0</v>
      </c>
      <c r="C339" s="7"/>
      <c r="D339" s="6">
        <v>10215</v>
      </c>
      <c r="E339" s="7">
        <v>2</v>
      </c>
      <c r="F339" s="7" t="str">
        <f t="shared" si="20"/>
        <v>Y</v>
      </c>
      <c r="G339" s="6">
        <f t="shared" si="21"/>
        <v>510.75</v>
      </c>
      <c r="H339" s="6">
        <f t="shared" si="22"/>
        <v>0</v>
      </c>
      <c r="I339" s="7">
        <v>3</v>
      </c>
      <c r="J339" s="7"/>
      <c r="K339" s="6">
        <f t="shared" si="23"/>
        <v>0</v>
      </c>
      <c r="L339" s="6">
        <f>'Invoice Data'!$B339+'Invoice Data'!$D339-'Invoice Data'!$G339-'Invoice Data'!$K339+'Invoice Data'!$H339</f>
        <v>9704.25</v>
      </c>
      <c r="M339" s="6" t="e">
        <f>VLOOKUP('Invoice Data'!$A339,BPay!$B$4:$D$10,3,0)</f>
        <v>#N/A</v>
      </c>
      <c r="N339" s="8"/>
    </row>
    <row r="340" spans="1:14" x14ac:dyDescent="0.3">
      <c r="A340" s="12">
        <v>33746</v>
      </c>
      <c r="B340" s="6">
        <v>0</v>
      </c>
      <c r="C340" s="7"/>
      <c r="D340" s="6">
        <v>10234</v>
      </c>
      <c r="E340" s="7">
        <v>2</v>
      </c>
      <c r="F340" s="7" t="str">
        <f t="shared" si="20"/>
        <v>Y</v>
      </c>
      <c r="G340" s="6">
        <f t="shared" si="21"/>
        <v>511.70000000000005</v>
      </c>
      <c r="H340" s="6">
        <f t="shared" si="22"/>
        <v>0</v>
      </c>
      <c r="I340" s="7">
        <v>16</v>
      </c>
      <c r="J340" s="7"/>
      <c r="K340" s="6">
        <f t="shared" si="23"/>
        <v>250</v>
      </c>
      <c r="L340" s="6">
        <f>'Invoice Data'!$B340+'Invoice Data'!$D340-'Invoice Data'!$G340-'Invoice Data'!$K340+'Invoice Data'!$H340</f>
        <v>9472.2999999999993</v>
      </c>
      <c r="M340" s="6" t="e">
        <f>VLOOKUP('Invoice Data'!$A340,BPay!$B$4:$D$10,3,0)</f>
        <v>#N/A</v>
      </c>
      <c r="N340" s="8"/>
    </row>
    <row r="341" spans="1:14" x14ac:dyDescent="0.3">
      <c r="A341" s="12">
        <v>33755</v>
      </c>
      <c r="B341" s="6">
        <v>0</v>
      </c>
      <c r="C341" s="7"/>
      <c r="D341" s="6">
        <v>7410</v>
      </c>
      <c r="E341" s="7">
        <v>2</v>
      </c>
      <c r="F341" s="7" t="str">
        <f t="shared" si="20"/>
        <v>Y</v>
      </c>
      <c r="G341" s="6">
        <f t="shared" si="21"/>
        <v>370.5</v>
      </c>
      <c r="H341" s="6">
        <f t="shared" si="22"/>
        <v>0</v>
      </c>
      <c r="I341" s="7">
        <v>12</v>
      </c>
      <c r="J341" s="7"/>
      <c r="K341" s="6">
        <f t="shared" si="23"/>
        <v>0</v>
      </c>
      <c r="L341" s="6">
        <f>'Invoice Data'!$B341+'Invoice Data'!$D341-'Invoice Data'!$G341-'Invoice Data'!$K341+'Invoice Data'!$H341</f>
        <v>7039.5</v>
      </c>
      <c r="M341" s="6" t="e">
        <f>VLOOKUP('Invoice Data'!$A341,BPay!$B$4:$D$10,3,0)</f>
        <v>#N/A</v>
      </c>
      <c r="N341" s="8"/>
    </row>
    <row r="342" spans="1:14" x14ac:dyDescent="0.3">
      <c r="A342" s="12">
        <v>33764</v>
      </c>
      <c r="B342" s="6">
        <v>0</v>
      </c>
      <c r="C342" s="7"/>
      <c r="D342" s="6">
        <v>8385</v>
      </c>
      <c r="E342" s="7">
        <v>2</v>
      </c>
      <c r="F342" s="7" t="str">
        <f t="shared" si="20"/>
        <v>Y</v>
      </c>
      <c r="G342" s="6">
        <f t="shared" si="21"/>
        <v>419.25</v>
      </c>
      <c r="H342" s="6">
        <f t="shared" si="22"/>
        <v>0</v>
      </c>
      <c r="I342" s="7">
        <v>6</v>
      </c>
      <c r="J342" s="7"/>
      <c r="K342" s="6">
        <f t="shared" si="23"/>
        <v>0</v>
      </c>
      <c r="L342" s="6">
        <f>'Invoice Data'!$B342+'Invoice Data'!$D342-'Invoice Data'!$G342-'Invoice Data'!$K342+'Invoice Data'!$H342</f>
        <v>7965.75</v>
      </c>
      <c r="M342" s="6" t="e">
        <f>VLOOKUP('Invoice Data'!$A342,BPay!$B$4:$D$10,3,0)</f>
        <v>#N/A</v>
      </c>
      <c r="N342" s="8"/>
    </row>
    <row r="343" spans="1:14" x14ac:dyDescent="0.3">
      <c r="A343" s="12">
        <v>33773</v>
      </c>
      <c r="B343" s="6">
        <v>0</v>
      </c>
      <c r="C343" s="7"/>
      <c r="D343" s="6">
        <v>4121</v>
      </c>
      <c r="E343" s="7">
        <v>1</v>
      </c>
      <c r="F343" s="7" t="str">
        <f t="shared" si="20"/>
        <v/>
      </c>
      <c r="G343" s="6">
        <f t="shared" si="21"/>
        <v>0</v>
      </c>
      <c r="H343" s="6">
        <f t="shared" si="22"/>
        <v>0</v>
      </c>
      <c r="I343" s="7">
        <v>9</v>
      </c>
      <c r="J343" s="7"/>
      <c r="K343" s="6">
        <f t="shared" si="23"/>
        <v>0</v>
      </c>
      <c r="L343" s="6">
        <f>'Invoice Data'!$B343+'Invoice Data'!$D343-'Invoice Data'!$G343-'Invoice Data'!$K343+'Invoice Data'!$H343</f>
        <v>4121</v>
      </c>
      <c r="M343" s="6" t="e">
        <f>VLOOKUP('Invoice Data'!$A343,BPay!$B$4:$D$10,3,0)</f>
        <v>#N/A</v>
      </c>
      <c r="N343" s="8"/>
    </row>
    <row r="344" spans="1:14" x14ac:dyDescent="0.3">
      <c r="A344" s="12">
        <v>33782</v>
      </c>
      <c r="B344" s="6">
        <v>0</v>
      </c>
      <c r="C344" s="7"/>
      <c r="D344" s="6">
        <v>4357</v>
      </c>
      <c r="E344" s="7">
        <v>1</v>
      </c>
      <c r="F344" s="7" t="str">
        <f t="shared" si="20"/>
        <v/>
      </c>
      <c r="G344" s="6">
        <f t="shared" si="21"/>
        <v>0</v>
      </c>
      <c r="H344" s="6">
        <f t="shared" si="22"/>
        <v>0</v>
      </c>
      <c r="I344" s="7">
        <v>4</v>
      </c>
      <c r="J344" s="7"/>
      <c r="K344" s="6">
        <f t="shared" si="23"/>
        <v>0</v>
      </c>
      <c r="L344" s="6">
        <f>'Invoice Data'!$B344+'Invoice Data'!$D344-'Invoice Data'!$G344-'Invoice Data'!$K344+'Invoice Data'!$H344</f>
        <v>4357</v>
      </c>
      <c r="M344" s="6" t="e">
        <f>VLOOKUP('Invoice Data'!$A344,BPay!$B$4:$D$10,3,0)</f>
        <v>#N/A</v>
      </c>
      <c r="N344" s="8"/>
    </row>
    <row r="345" spans="1:14" x14ac:dyDescent="0.3">
      <c r="A345" s="12">
        <v>33791</v>
      </c>
      <c r="B345" s="6">
        <v>0</v>
      </c>
      <c r="C345" s="7"/>
      <c r="D345" s="6">
        <v>3935</v>
      </c>
      <c r="E345" s="7">
        <v>1</v>
      </c>
      <c r="F345" s="7" t="str">
        <f t="shared" si="20"/>
        <v/>
      </c>
      <c r="G345" s="6">
        <f t="shared" si="21"/>
        <v>0</v>
      </c>
      <c r="H345" s="6">
        <f t="shared" si="22"/>
        <v>0</v>
      </c>
      <c r="I345" s="7">
        <v>1</v>
      </c>
      <c r="J345" s="7"/>
      <c r="K345" s="6">
        <f t="shared" si="23"/>
        <v>0</v>
      </c>
      <c r="L345" s="6">
        <f>'Invoice Data'!$B345+'Invoice Data'!$D345-'Invoice Data'!$G345-'Invoice Data'!$K345+'Invoice Data'!$H345</f>
        <v>3935</v>
      </c>
      <c r="M345" s="6" t="e">
        <f>VLOOKUP('Invoice Data'!$A345,BPay!$B$4:$D$10,3,0)</f>
        <v>#N/A</v>
      </c>
      <c r="N345" s="8"/>
    </row>
    <row r="346" spans="1:14" x14ac:dyDescent="0.3">
      <c r="A346" s="12">
        <v>33808</v>
      </c>
      <c r="B346" s="6">
        <v>0</v>
      </c>
      <c r="C346" s="7"/>
      <c r="D346" s="6">
        <v>6808</v>
      </c>
      <c r="E346" s="7">
        <v>2</v>
      </c>
      <c r="F346" s="7" t="str">
        <f t="shared" si="20"/>
        <v>Y</v>
      </c>
      <c r="G346" s="6">
        <f t="shared" si="21"/>
        <v>340.40000000000003</v>
      </c>
      <c r="H346" s="6">
        <f t="shared" si="22"/>
        <v>0</v>
      </c>
      <c r="I346" s="7">
        <v>8</v>
      </c>
      <c r="J346" s="7"/>
      <c r="K346" s="6">
        <f t="shared" si="23"/>
        <v>0</v>
      </c>
      <c r="L346" s="6">
        <f>'Invoice Data'!$B346+'Invoice Data'!$D346-'Invoice Data'!$G346-'Invoice Data'!$K346+'Invoice Data'!$H346</f>
        <v>6467.6</v>
      </c>
      <c r="M346" s="6" t="e">
        <f>VLOOKUP('Invoice Data'!$A346,BPay!$B$4:$D$10,3,0)</f>
        <v>#N/A</v>
      </c>
      <c r="N346" s="8"/>
    </row>
    <row r="347" spans="1:14" x14ac:dyDescent="0.3">
      <c r="A347" s="12">
        <v>33817</v>
      </c>
      <c r="B347" s="6">
        <v>0</v>
      </c>
      <c r="C347" s="7"/>
      <c r="D347" s="6">
        <v>10202</v>
      </c>
      <c r="E347" s="7">
        <v>2</v>
      </c>
      <c r="F347" s="7" t="str">
        <f t="shared" si="20"/>
        <v>Y</v>
      </c>
      <c r="G347" s="6">
        <f t="shared" si="21"/>
        <v>510.1</v>
      </c>
      <c r="H347" s="6">
        <f t="shared" si="22"/>
        <v>0</v>
      </c>
      <c r="I347" s="7">
        <v>6</v>
      </c>
      <c r="J347" s="7"/>
      <c r="K347" s="6">
        <f t="shared" si="23"/>
        <v>0</v>
      </c>
      <c r="L347" s="6">
        <f>'Invoice Data'!$B347+'Invoice Data'!$D347-'Invoice Data'!$G347-'Invoice Data'!$K347+'Invoice Data'!$H347</f>
        <v>9691.9</v>
      </c>
      <c r="M347" s="6" t="e">
        <f>VLOOKUP('Invoice Data'!$A347,BPay!$B$4:$D$10,3,0)</f>
        <v>#N/A</v>
      </c>
      <c r="N347" s="8"/>
    </row>
    <row r="348" spans="1:14" x14ac:dyDescent="0.3">
      <c r="A348" s="12">
        <v>33826</v>
      </c>
      <c r="B348" s="6">
        <v>0</v>
      </c>
      <c r="C348" s="7"/>
      <c r="D348" s="6">
        <v>3738</v>
      </c>
      <c r="E348" s="7">
        <v>1</v>
      </c>
      <c r="F348" s="7" t="str">
        <f t="shared" si="20"/>
        <v/>
      </c>
      <c r="G348" s="6">
        <f t="shared" si="21"/>
        <v>0</v>
      </c>
      <c r="H348" s="6">
        <f t="shared" si="22"/>
        <v>0</v>
      </c>
      <c r="I348" s="7">
        <v>12</v>
      </c>
      <c r="J348" s="7"/>
      <c r="K348" s="6">
        <f t="shared" si="23"/>
        <v>0</v>
      </c>
      <c r="L348" s="6">
        <f>'Invoice Data'!$B348+'Invoice Data'!$D348-'Invoice Data'!$G348-'Invoice Data'!$K348+'Invoice Data'!$H348</f>
        <v>3738</v>
      </c>
      <c r="M348" s="6" t="e">
        <f>VLOOKUP('Invoice Data'!$A348,BPay!$B$4:$D$10,3,0)</f>
        <v>#N/A</v>
      </c>
      <c r="N348" s="8"/>
    </row>
    <row r="349" spans="1:14" x14ac:dyDescent="0.3">
      <c r="A349" s="12">
        <v>33835</v>
      </c>
      <c r="B349" s="6">
        <v>0</v>
      </c>
      <c r="C349" s="7"/>
      <c r="D349" s="6">
        <v>3846</v>
      </c>
      <c r="E349" s="7">
        <v>1</v>
      </c>
      <c r="F349" s="7" t="str">
        <f t="shared" si="20"/>
        <v/>
      </c>
      <c r="G349" s="6">
        <f t="shared" si="21"/>
        <v>0</v>
      </c>
      <c r="H349" s="6">
        <f t="shared" si="22"/>
        <v>0</v>
      </c>
      <c r="I349" s="7">
        <v>12</v>
      </c>
      <c r="J349" s="7"/>
      <c r="K349" s="6">
        <f t="shared" si="23"/>
        <v>0</v>
      </c>
      <c r="L349" s="6">
        <f>'Invoice Data'!$B349+'Invoice Data'!$D349-'Invoice Data'!$G349-'Invoice Data'!$K349+'Invoice Data'!$H349</f>
        <v>3846</v>
      </c>
      <c r="M349" s="6" t="e">
        <f>VLOOKUP('Invoice Data'!$A349,BPay!$B$4:$D$10,3,0)</f>
        <v>#N/A</v>
      </c>
      <c r="N349" s="8"/>
    </row>
    <row r="350" spans="1:14" x14ac:dyDescent="0.3">
      <c r="A350" s="12">
        <v>33844</v>
      </c>
      <c r="B350" s="6">
        <v>0</v>
      </c>
      <c r="C350" s="7"/>
      <c r="D350" s="6">
        <v>7938</v>
      </c>
      <c r="E350" s="7">
        <v>2</v>
      </c>
      <c r="F350" s="7" t="str">
        <f t="shared" si="20"/>
        <v>Y</v>
      </c>
      <c r="G350" s="6">
        <f t="shared" si="21"/>
        <v>396.90000000000003</v>
      </c>
      <c r="H350" s="6">
        <f t="shared" si="22"/>
        <v>0</v>
      </c>
      <c r="I350" s="7">
        <v>14</v>
      </c>
      <c r="J350" s="7"/>
      <c r="K350" s="6">
        <f t="shared" si="23"/>
        <v>0</v>
      </c>
      <c r="L350" s="6">
        <f>'Invoice Data'!$B350+'Invoice Data'!$D350-'Invoice Data'!$G350-'Invoice Data'!$K350+'Invoice Data'!$H350</f>
        <v>7541.1</v>
      </c>
      <c r="M350" s="6" t="e">
        <f>VLOOKUP('Invoice Data'!$A350,BPay!$B$4:$D$10,3,0)</f>
        <v>#N/A</v>
      </c>
      <c r="N350" s="8"/>
    </row>
    <row r="351" spans="1:14" x14ac:dyDescent="0.3">
      <c r="A351" s="12">
        <v>33853</v>
      </c>
      <c r="B351" s="6">
        <v>0</v>
      </c>
      <c r="C351" s="7"/>
      <c r="D351" s="6">
        <v>3620</v>
      </c>
      <c r="E351" s="7">
        <v>1</v>
      </c>
      <c r="F351" s="7" t="str">
        <f t="shared" si="20"/>
        <v/>
      </c>
      <c r="G351" s="6">
        <f t="shared" si="21"/>
        <v>0</v>
      </c>
      <c r="H351" s="6">
        <f t="shared" si="22"/>
        <v>0</v>
      </c>
      <c r="I351" s="7">
        <v>7</v>
      </c>
      <c r="J351" s="7"/>
      <c r="K351" s="6">
        <f t="shared" si="23"/>
        <v>0</v>
      </c>
      <c r="L351" s="6">
        <f>'Invoice Data'!$B351+'Invoice Data'!$D351-'Invoice Data'!$G351-'Invoice Data'!$K351+'Invoice Data'!$H351</f>
        <v>3620</v>
      </c>
      <c r="M351" s="6" t="e">
        <f>VLOOKUP('Invoice Data'!$A351,BPay!$B$4:$D$10,3,0)</f>
        <v>#N/A</v>
      </c>
      <c r="N351" s="8"/>
    </row>
    <row r="352" spans="1:14" x14ac:dyDescent="0.3">
      <c r="A352" s="12">
        <v>33862</v>
      </c>
      <c r="B352" s="6">
        <v>0</v>
      </c>
      <c r="C352" s="7"/>
      <c r="D352" s="6">
        <v>4582</v>
      </c>
      <c r="E352" s="7">
        <v>1</v>
      </c>
      <c r="F352" s="7" t="str">
        <f t="shared" si="20"/>
        <v/>
      </c>
      <c r="G352" s="6">
        <f t="shared" si="21"/>
        <v>0</v>
      </c>
      <c r="H352" s="6">
        <f t="shared" si="22"/>
        <v>0</v>
      </c>
      <c r="I352" s="7">
        <v>15</v>
      </c>
      <c r="J352" s="7"/>
      <c r="K352" s="6">
        <f t="shared" si="23"/>
        <v>0</v>
      </c>
      <c r="L352" s="6">
        <f>'Invoice Data'!$B352+'Invoice Data'!$D352-'Invoice Data'!$G352-'Invoice Data'!$K352+'Invoice Data'!$H352</f>
        <v>4582</v>
      </c>
      <c r="M352" s="6" t="e">
        <f>VLOOKUP('Invoice Data'!$A352,BPay!$B$4:$D$10,3,0)</f>
        <v>#N/A</v>
      </c>
      <c r="N352" s="8"/>
    </row>
    <row r="353" spans="1:14" x14ac:dyDescent="0.3">
      <c r="A353" s="12">
        <v>33871</v>
      </c>
      <c r="B353" s="6">
        <v>0</v>
      </c>
      <c r="C353" s="7"/>
      <c r="D353" s="6">
        <v>9851</v>
      </c>
      <c r="E353" s="7">
        <v>2</v>
      </c>
      <c r="F353" s="7" t="str">
        <f t="shared" si="20"/>
        <v>Y</v>
      </c>
      <c r="G353" s="6">
        <f t="shared" si="21"/>
        <v>492.55</v>
      </c>
      <c r="H353" s="6">
        <f t="shared" si="22"/>
        <v>0</v>
      </c>
      <c r="I353" s="7">
        <v>6</v>
      </c>
      <c r="J353" s="7"/>
      <c r="K353" s="6">
        <f t="shared" si="23"/>
        <v>0</v>
      </c>
      <c r="L353" s="6">
        <f>'Invoice Data'!$B353+'Invoice Data'!$D353-'Invoice Data'!$G353-'Invoice Data'!$K353+'Invoice Data'!$H353</f>
        <v>9358.4500000000007</v>
      </c>
      <c r="M353" s="6" t="e">
        <f>VLOOKUP('Invoice Data'!$A353,BPay!$B$4:$D$10,3,0)</f>
        <v>#N/A</v>
      </c>
      <c r="N353" s="8"/>
    </row>
    <row r="354" spans="1:14" x14ac:dyDescent="0.3">
      <c r="A354" s="12">
        <v>33880</v>
      </c>
      <c r="B354" s="6">
        <v>0</v>
      </c>
      <c r="C354" s="7"/>
      <c r="D354" s="6">
        <v>4969</v>
      </c>
      <c r="E354" s="7">
        <v>1</v>
      </c>
      <c r="F354" s="7" t="str">
        <f t="shared" si="20"/>
        <v/>
      </c>
      <c r="G354" s="6">
        <f t="shared" si="21"/>
        <v>0</v>
      </c>
      <c r="H354" s="6">
        <f t="shared" si="22"/>
        <v>0</v>
      </c>
      <c r="I354" s="7">
        <v>13</v>
      </c>
      <c r="J354" s="7"/>
      <c r="K354" s="6">
        <f t="shared" si="23"/>
        <v>0</v>
      </c>
      <c r="L354" s="6">
        <f>'Invoice Data'!$B354+'Invoice Data'!$D354-'Invoice Data'!$G354-'Invoice Data'!$K354+'Invoice Data'!$H354</f>
        <v>4969</v>
      </c>
      <c r="M354" s="6" t="e">
        <f>VLOOKUP('Invoice Data'!$A354,BPay!$B$4:$D$10,3,0)</f>
        <v>#N/A</v>
      </c>
      <c r="N354" s="8"/>
    </row>
    <row r="355" spans="1:14" x14ac:dyDescent="0.3">
      <c r="A355" s="12">
        <v>33899</v>
      </c>
      <c r="B355" s="6">
        <v>0</v>
      </c>
      <c r="C355" s="7"/>
      <c r="D355" s="6">
        <v>9337</v>
      </c>
      <c r="E355" s="7">
        <v>2</v>
      </c>
      <c r="F355" s="7" t="str">
        <f t="shared" si="20"/>
        <v>Y</v>
      </c>
      <c r="G355" s="6">
        <f t="shared" si="21"/>
        <v>466.85</v>
      </c>
      <c r="H355" s="6">
        <f t="shared" si="22"/>
        <v>0</v>
      </c>
      <c r="I355" s="7">
        <v>0</v>
      </c>
      <c r="J355" s="7"/>
      <c r="K355" s="6">
        <f t="shared" si="23"/>
        <v>0</v>
      </c>
      <c r="L355" s="6">
        <f>'Invoice Data'!$B355+'Invoice Data'!$D355-'Invoice Data'!$G355-'Invoice Data'!$K355+'Invoice Data'!$H355</f>
        <v>8870.15</v>
      </c>
      <c r="M355" s="6" t="e">
        <f>VLOOKUP('Invoice Data'!$A355,BPay!$B$4:$D$10,3,0)</f>
        <v>#N/A</v>
      </c>
      <c r="N355" s="8"/>
    </row>
    <row r="356" spans="1:14" x14ac:dyDescent="0.3">
      <c r="A356" s="12">
        <v>33906</v>
      </c>
      <c r="B356" s="6">
        <v>0</v>
      </c>
      <c r="C356" s="7"/>
      <c r="D356" s="6">
        <v>4655</v>
      </c>
      <c r="E356" s="7">
        <v>1</v>
      </c>
      <c r="F356" s="7" t="str">
        <f t="shared" si="20"/>
        <v/>
      </c>
      <c r="G356" s="6">
        <f t="shared" si="21"/>
        <v>0</v>
      </c>
      <c r="H356" s="6">
        <f t="shared" si="22"/>
        <v>0</v>
      </c>
      <c r="I356" s="7">
        <v>1</v>
      </c>
      <c r="J356" s="7"/>
      <c r="K356" s="6">
        <f t="shared" si="23"/>
        <v>0</v>
      </c>
      <c r="L356" s="6">
        <f>'Invoice Data'!$B356+'Invoice Data'!$D356-'Invoice Data'!$G356-'Invoice Data'!$K356+'Invoice Data'!$H356</f>
        <v>4655</v>
      </c>
      <c r="M356" s="6" t="e">
        <f>VLOOKUP('Invoice Data'!$A356,BPay!$B$4:$D$10,3,0)</f>
        <v>#N/A</v>
      </c>
      <c r="N356" s="8"/>
    </row>
    <row r="357" spans="1:14" x14ac:dyDescent="0.3">
      <c r="A357" s="12">
        <v>33915</v>
      </c>
      <c r="B357" s="6">
        <v>0</v>
      </c>
      <c r="C357" s="7"/>
      <c r="D357" s="6">
        <v>6575</v>
      </c>
      <c r="E357" s="7">
        <v>2</v>
      </c>
      <c r="F357" s="7" t="str">
        <f t="shared" si="20"/>
        <v>Y</v>
      </c>
      <c r="G357" s="6">
        <f t="shared" si="21"/>
        <v>328.75</v>
      </c>
      <c r="H357" s="6">
        <f t="shared" si="22"/>
        <v>0</v>
      </c>
      <c r="I357" s="7">
        <v>1</v>
      </c>
      <c r="J357" s="7"/>
      <c r="K357" s="6">
        <f t="shared" si="23"/>
        <v>0</v>
      </c>
      <c r="L357" s="6">
        <f>'Invoice Data'!$B357+'Invoice Data'!$D357-'Invoice Data'!$G357-'Invoice Data'!$K357+'Invoice Data'!$H357</f>
        <v>6246.25</v>
      </c>
      <c r="M357" s="6" t="e">
        <f>VLOOKUP('Invoice Data'!$A357,BPay!$B$4:$D$10,3,0)</f>
        <v>#N/A</v>
      </c>
      <c r="N357" s="8"/>
    </row>
    <row r="358" spans="1:14" x14ac:dyDescent="0.3">
      <c r="A358" s="12">
        <v>33924</v>
      </c>
      <c r="B358" s="6">
        <v>0</v>
      </c>
      <c r="C358" s="7"/>
      <c r="D358" s="6">
        <v>4067</v>
      </c>
      <c r="E358" s="7">
        <v>1</v>
      </c>
      <c r="F358" s="7" t="str">
        <f t="shared" si="20"/>
        <v/>
      </c>
      <c r="G358" s="6">
        <f t="shared" si="21"/>
        <v>0</v>
      </c>
      <c r="H358" s="6">
        <f t="shared" si="22"/>
        <v>0</v>
      </c>
      <c r="I358" s="7">
        <v>2</v>
      </c>
      <c r="J358" s="7"/>
      <c r="K358" s="6">
        <f t="shared" si="23"/>
        <v>0</v>
      </c>
      <c r="L358" s="6">
        <f>'Invoice Data'!$B358+'Invoice Data'!$D358-'Invoice Data'!$G358-'Invoice Data'!$K358+'Invoice Data'!$H358</f>
        <v>4067</v>
      </c>
      <c r="M358" s="6" t="e">
        <f>VLOOKUP('Invoice Data'!$A358,BPay!$B$4:$D$10,3,0)</f>
        <v>#N/A</v>
      </c>
      <c r="N358" s="8"/>
    </row>
    <row r="359" spans="1:14" x14ac:dyDescent="0.3">
      <c r="A359" s="12">
        <v>33933</v>
      </c>
      <c r="B359" s="6">
        <v>0</v>
      </c>
      <c r="C359" s="7"/>
      <c r="D359" s="6">
        <v>5191</v>
      </c>
      <c r="E359" s="7">
        <v>1</v>
      </c>
      <c r="F359" s="7" t="str">
        <f t="shared" si="20"/>
        <v/>
      </c>
      <c r="G359" s="6">
        <f t="shared" si="21"/>
        <v>0</v>
      </c>
      <c r="H359" s="6">
        <f t="shared" si="22"/>
        <v>0</v>
      </c>
      <c r="I359" s="7">
        <v>3</v>
      </c>
      <c r="J359" s="7"/>
      <c r="K359" s="6">
        <f t="shared" si="23"/>
        <v>0</v>
      </c>
      <c r="L359" s="6">
        <f>'Invoice Data'!$B359+'Invoice Data'!$D359-'Invoice Data'!$G359-'Invoice Data'!$K359+'Invoice Data'!$H359</f>
        <v>5191</v>
      </c>
      <c r="M359" s="6" t="e">
        <f>VLOOKUP('Invoice Data'!$A359,BPay!$B$4:$D$10,3,0)</f>
        <v>#N/A</v>
      </c>
      <c r="N359" s="8"/>
    </row>
    <row r="360" spans="1:14" x14ac:dyDescent="0.3">
      <c r="A360" s="12">
        <v>33942</v>
      </c>
      <c r="B360" s="6">
        <v>0</v>
      </c>
      <c r="C360" s="7"/>
      <c r="D360" s="6">
        <v>4362</v>
      </c>
      <c r="E360" s="7">
        <v>1</v>
      </c>
      <c r="F360" s="7" t="str">
        <f t="shared" si="20"/>
        <v/>
      </c>
      <c r="G360" s="6">
        <f t="shared" si="21"/>
        <v>0</v>
      </c>
      <c r="H360" s="6">
        <f t="shared" si="22"/>
        <v>0</v>
      </c>
      <c r="I360" s="7">
        <v>6</v>
      </c>
      <c r="J360" s="7"/>
      <c r="K360" s="6">
        <f t="shared" si="23"/>
        <v>0</v>
      </c>
      <c r="L360" s="6">
        <f>'Invoice Data'!$B360+'Invoice Data'!$D360-'Invoice Data'!$G360-'Invoice Data'!$K360+'Invoice Data'!$H360</f>
        <v>4362</v>
      </c>
      <c r="M360" s="6" t="e">
        <f>VLOOKUP('Invoice Data'!$A360,BPay!$B$4:$D$10,3,0)</f>
        <v>#N/A</v>
      </c>
      <c r="N360" s="8"/>
    </row>
    <row r="361" spans="1:14" x14ac:dyDescent="0.3">
      <c r="A361" s="12">
        <v>33951</v>
      </c>
      <c r="B361" s="6">
        <v>0</v>
      </c>
      <c r="C361" s="7"/>
      <c r="D361" s="6">
        <v>10100</v>
      </c>
      <c r="E361" s="7">
        <v>2</v>
      </c>
      <c r="F361" s="7" t="str">
        <f t="shared" si="20"/>
        <v>Y</v>
      </c>
      <c r="G361" s="6">
        <f t="shared" si="21"/>
        <v>505</v>
      </c>
      <c r="H361" s="6">
        <f t="shared" si="22"/>
        <v>0</v>
      </c>
      <c r="I361" s="7">
        <v>12</v>
      </c>
      <c r="J361" s="7"/>
      <c r="K361" s="6">
        <f t="shared" si="23"/>
        <v>0</v>
      </c>
      <c r="L361" s="6">
        <f>'Invoice Data'!$B361+'Invoice Data'!$D361-'Invoice Data'!$G361-'Invoice Data'!$K361+'Invoice Data'!$H361</f>
        <v>9595</v>
      </c>
      <c r="M361" s="6" t="e">
        <f>VLOOKUP('Invoice Data'!$A361,BPay!$B$4:$D$10,3,0)</f>
        <v>#N/A</v>
      </c>
      <c r="N361" s="8"/>
    </row>
    <row r="362" spans="1:14" x14ac:dyDescent="0.3">
      <c r="A362" s="12">
        <v>33960</v>
      </c>
      <c r="B362" s="6">
        <v>0</v>
      </c>
      <c r="C362" s="7"/>
      <c r="D362" s="6">
        <v>6766</v>
      </c>
      <c r="E362" s="7">
        <v>2</v>
      </c>
      <c r="F362" s="7" t="str">
        <f t="shared" si="20"/>
        <v>Y</v>
      </c>
      <c r="G362" s="6">
        <f t="shared" si="21"/>
        <v>338.3</v>
      </c>
      <c r="H362" s="6">
        <f t="shared" si="22"/>
        <v>0</v>
      </c>
      <c r="I362" s="7">
        <v>4</v>
      </c>
      <c r="J362" s="7"/>
      <c r="K362" s="6">
        <f t="shared" si="23"/>
        <v>0</v>
      </c>
      <c r="L362" s="6">
        <f>'Invoice Data'!$B362+'Invoice Data'!$D362-'Invoice Data'!$G362-'Invoice Data'!$K362+'Invoice Data'!$H362</f>
        <v>6427.7</v>
      </c>
      <c r="M362" s="6" t="e">
        <f>VLOOKUP('Invoice Data'!$A362,BPay!$B$4:$D$10,3,0)</f>
        <v>#N/A</v>
      </c>
      <c r="N362" s="8"/>
    </row>
    <row r="363" spans="1:14" x14ac:dyDescent="0.3">
      <c r="A363" s="12">
        <v>33979</v>
      </c>
      <c r="B363" s="6">
        <v>0</v>
      </c>
      <c r="C363" s="7"/>
      <c r="D363" s="6">
        <v>4848</v>
      </c>
      <c r="E363" s="7">
        <v>1</v>
      </c>
      <c r="F363" s="7" t="str">
        <f t="shared" si="20"/>
        <v/>
      </c>
      <c r="G363" s="6">
        <f t="shared" si="21"/>
        <v>0</v>
      </c>
      <c r="H363" s="6">
        <f t="shared" si="22"/>
        <v>0</v>
      </c>
      <c r="I363" s="7">
        <v>15</v>
      </c>
      <c r="J363" s="7"/>
      <c r="K363" s="6">
        <f t="shared" si="23"/>
        <v>0</v>
      </c>
      <c r="L363" s="6">
        <f>'Invoice Data'!$B363+'Invoice Data'!$D363-'Invoice Data'!$G363-'Invoice Data'!$K363+'Invoice Data'!$H363</f>
        <v>4848</v>
      </c>
      <c r="M363" s="6" t="e">
        <f>VLOOKUP('Invoice Data'!$A363,BPay!$B$4:$D$10,3,0)</f>
        <v>#N/A</v>
      </c>
      <c r="N363" s="8"/>
    </row>
    <row r="364" spans="1:14" x14ac:dyDescent="0.3">
      <c r="A364" s="12">
        <v>33988</v>
      </c>
      <c r="B364" s="6">
        <v>0</v>
      </c>
      <c r="C364" s="7"/>
      <c r="D364" s="6">
        <v>5082</v>
      </c>
      <c r="E364" s="7">
        <v>1</v>
      </c>
      <c r="F364" s="7" t="str">
        <f t="shared" si="20"/>
        <v/>
      </c>
      <c r="G364" s="6">
        <f t="shared" si="21"/>
        <v>0</v>
      </c>
      <c r="H364" s="6">
        <f t="shared" si="22"/>
        <v>0</v>
      </c>
      <c r="I364" s="7">
        <v>6</v>
      </c>
      <c r="J364" s="7"/>
      <c r="K364" s="6">
        <f t="shared" si="23"/>
        <v>0</v>
      </c>
      <c r="L364" s="6">
        <f>'Invoice Data'!$B364+'Invoice Data'!$D364-'Invoice Data'!$G364-'Invoice Data'!$K364+'Invoice Data'!$H364</f>
        <v>5082</v>
      </c>
      <c r="M364" s="6" t="e">
        <f>VLOOKUP('Invoice Data'!$A364,BPay!$B$4:$D$10,3,0)</f>
        <v>#N/A</v>
      </c>
      <c r="N364" s="8"/>
    </row>
    <row r="365" spans="1:14" x14ac:dyDescent="0.3">
      <c r="A365" s="12">
        <v>33997</v>
      </c>
      <c r="B365" s="6">
        <v>0</v>
      </c>
      <c r="C365" s="7"/>
      <c r="D365" s="6">
        <v>4384</v>
      </c>
      <c r="E365" s="7">
        <v>1</v>
      </c>
      <c r="F365" s="7" t="str">
        <f t="shared" si="20"/>
        <v/>
      </c>
      <c r="G365" s="6">
        <f t="shared" si="21"/>
        <v>0</v>
      </c>
      <c r="H365" s="6">
        <f t="shared" si="22"/>
        <v>0</v>
      </c>
      <c r="I365" s="7">
        <v>9</v>
      </c>
      <c r="J365" s="7"/>
      <c r="K365" s="6">
        <f t="shared" si="23"/>
        <v>0</v>
      </c>
      <c r="L365" s="6">
        <f>'Invoice Data'!$B365+'Invoice Data'!$D365-'Invoice Data'!$G365-'Invoice Data'!$K365+'Invoice Data'!$H365</f>
        <v>4384</v>
      </c>
      <c r="M365" s="6" t="e">
        <f>VLOOKUP('Invoice Data'!$A365,BPay!$B$4:$D$10,3,0)</f>
        <v>#N/A</v>
      </c>
      <c r="N365" s="8"/>
    </row>
    <row r="366" spans="1:14" x14ac:dyDescent="0.3">
      <c r="A366" s="12">
        <v>34004</v>
      </c>
      <c r="B366" s="6">
        <v>0</v>
      </c>
      <c r="C366" s="7"/>
      <c r="D366" s="6">
        <v>4789</v>
      </c>
      <c r="E366" s="7">
        <v>1</v>
      </c>
      <c r="F366" s="7" t="str">
        <f t="shared" si="20"/>
        <v/>
      </c>
      <c r="G366" s="6">
        <f t="shared" si="21"/>
        <v>0</v>
      </c>
      <c r="H366" s="6">
        <f t="shared" si="22"/>
        <v>0</v>
      </c>
      <c r="I366" s="7">
        <v>16</v>
      </c>
      <c r="J366" s="7"/>
      <c r="K366" s="6">
        <f t="shared" si="23"/>
        <v>250</v>
      </c>
      <c r="L366" s="6">
        <f>'Invoice Data'!$B366+'Invoice Data'!$D366-'Invoice Data'!$G366-'Invoice Data'!$K366+'Invoice Data'!$H366</f>
        <v>4539</v>
      </c>
      <c r="M366" s="6" t="e">
        <f>VLOOKUP('Invoice Data'!$A366,BPay!$B$4:$D$10,3,0)</f>
        <v>#N/A</v>
      </c>
      <c r="N366" s="8"/>
    </row>
    <row r="367" spans="1:14" x14ac:dyDescent="0.3">
      <c r="A367" s="12">
        <v>34013</v>
      </c>
      <c r="B367" s="6">
        <v>0</v>
      </c>
      <c r="C367" s="7"/>
      <c r="D367" s="6">
        <v>9782</v>
      </c>
      <c r="E367" s="7">
        <v>2</v>
      </c>
      <c r="F367" s="7" t="str">
        <f t="shared" si="20"/>
        <v>Y</v>
      </c>
      <c r="G367" s="6">
        <f t="shared" si="21"/>
        <v>489.1</v>
      </c>
      <c r="H367" s="6">
        <f t="shared" si="22"/>
        <v>0</v>
      </c>
      <c r="I367" s="7">
        <v>7</v>
      </c>
      <c r="J367" s="7"/>
      <c r="K367" s="6">
        <f t="shared" si="23"/>
        <v>0</v>
      </c>
      <c r="L367" s="6">
        <f>'Invoice Data'!$B367+'Invoice Data'!$D367-'Invoice Data'!$G367-'Invoice Data'!$K367+'Invoice Data'!$H367</f>
        <v>9292.9</v>
      </c>
      <c r="M367" s="6" t="e">
        <f>VLOOKUP('Invoice Data'!$A367,BPay!$B$4:$D$10,3,0)</f>
        <v>#N/A</v>
      </c>
      <c r="N367" s="8"/>
    </row>
    <row r="368" spans="1:14" x14ac:dyDescent="0.3">
      <c r="A368" s="12">
        <v>34022</v>
      </c>
      <c r="B368" s="6">
        <v>0</v>
      </c>
      <c r="C368" s="7"/>
      <c r="D368" s="6">
        <v>9714</v>
      </c>
      <c r="E368" s="7">
        <v>2</v>
      </c>
      <c r="F368" s="7" t="str">
        <f t="shared" si="20"/>
        <v>Y</v>
      </c>
      <c r="G368" s="6">
        <f t="shared" si="21"/>
        <v>485.70000000000005</v>
      </c>
      <c r="H368" s="6">
        <f t="shared" si="22"/>
        <v>0</v>
      </c>
      <c r="I368" s="7">
        <v>9</v>
      </c>
      <c r="J368" s="7"/>
      <c r="K368" s="6">
        <f t="shared" si="23"/>
        <v>0</v>
      </c>
      <c r="L368" s="6">
        <f>'Invoice Data'!$B368+'Invoice Data'!$D368-'Invoice Data'!$G368-'Invoice Data'!$K368+'Invoice Data'!$H368</f>
        <v>9228.2999999999993</v>
      </c>
      <c r="M368" s="6" t="e">
        <f>VLOOKUP('Invoice Data'!$A368,BPay!$B$4:$D$10,3,0)</f>
        <v>#N/A</v>
      </c>
      <c r="N368" s="8"/>
    </row>
    <row r="369" spans="1:14" x14ac:dyDescent="0.3">
      <c r="A369" s="12">
        <v>34031</v>
      </c>
      <c r="B369" s="6">
        <v>0</v>
      </c>
      <c r="C369" s="7"/>
      <c r="D369" s="6">
        <v>8126</v>
      </c>
      <c r="E369" s="7">
        <v>2</v>
      </c>
      <c r="F369" s="7" t="str">
        <f t="shared" si="20"/>
        <v>Y</v>
      </c>
      <c r="G369" s="6">
        <f t="shared" si="21"/>
        <v>406.3</v>
      </c>
      <c r="H369" s="6">
        <f t="shared" si="22"/>
        <v>0</v>
      </c>
      <c r="I369" s="7">
        <v>12</v>
      </c>
      <c r="J369" s="7"/>
      <c r="K369" s="6">
        <f t="shared" si="23"/>
        <v>0</v>
      </c>
      <c r="L369" s="6">
        <f>'Invoice Data'!$B369+'Invoice Data'!$D369-'Invoice Data'!$G369-'Invoice Data'!$K369+'Invoice Data'!$H369</f>
        <v>7719.7</v>
      </c>
      <c r="M369" s="6" t="e">
        <f>VLOOKUP('Invoice Data'!$A369,BPay!$B$4:$D$10,3,0)</f>
        <v>#N/A</v>
      </c>
      <c r="N369" s="8"/>
    </row>
    <row r="370" spans="1:14" x14ac:dyDescent="0.3">
      <c r="A370" s="12">
        <v>34040</v>
      </c>
      <c r="B370" s="6">
        <v>0</v>
      </c>
      <c r="C370" s="7"/>
      <c r="D370" s="6">
        <v>9231</v>
      </c>
      <c r="E370" s="7">
        <v>2</v>
      </c>
      <c r="F370" s="7" t="str">
        <f t="shared" si="20"/>
        <v>Y</v>
      </c>
      <c r="G370" s="6">
        <f t="shared" si="21"/>
        <v>461.55</v>
      </c>
      <c r="H370" s="6">
        <f t="shared" si="22"/>
        <v>0</v>
      </c>
      <c r="I370" s="7">
        <v>4</v>
      </c>
      <c r="J370" s="7"/>
      <c r="K370" s="6">
        <f t="shared" si="23"/>
        <v>0</v>
      </c>
      <c r="L370" s="6">
        <f>'Invoice Data'!$B370+'Invoice Data'!$D370-'Invoice Data'!$G370-'Invoice Data'!$K370+'Invoice Data'!$H370</f>
        <v>8769.4500000000007</v>
      </c>
      <c r="M370" s="6" t="e">
        <f>VLOOKUP('Invoice Data'!$A370,BPay!$B$4:$D$10,3,0)</f>
        <v>#N/A</v>
      </c>
      <c r="N370" s="8"/>
    </row>
    <row r="371" spans="1:14" x14ac:dyDescent="0.3">
      <c r="A371" s="12">
        <v>34059</v>
      </c>
      <c r="B371" s="6">
        <v>0</v>
      </c>
      <c r="C371" s="7"/>
      <c r="D371" s="6">
        <v>9350</v>
      </c>
      <c r="E371" s="7">
        <v>2</v>
      </c>
      <c r="F371" s="7" t="str">
        <f t="shared" si="20"/>
        <v>Y</v>
      </c>
      <c r="G371" s="6">
        <f t="shared" si="21"/>
        <v>467.5</v>
      </c>
      <c r="H371" s="6">
        <f t="shared" si="22"/>
        <v>0</v>
      </c>
      <c r="I371" s="7">
        <v>13</v>
      </c>
      <c r="J371" s="7"/>
      <c r="K371" s="6">
        <f t="shared" si="23"/>
        <v>0</v>
      </c>
      <c r="L371" s="6">
        <f>'Invoice Data'!$B371+'Invoice Data'!$D371-'Invoice Data'!$G371-'Invoice Data'!$K371+'Invoice Data'!$H371</f>
        <v>8882.5</v>
      </c>
      <c r="M371" s="6" t="e">
        <f>VLOOKUP('Invoice Data'!$A371,BPay!$B$4:$D$10,3,0)</f>
        <v>#N/A</v>
      </c>
      <c r="N371" s="8"/>
    </row>
    <row r="372" spans="1:14" x14ac:dyDescent="0.3">
      <c r="A372" s="12">
        <v>34068</v>
      </c>
      <c r="B372" s="6">
        <v>0</v>
      </c>
      <c r="C372" s="7"/>
      <c r="D372" s="6">
        <v>6617</v>
      </c>
      <c r="E372" s="7">
        <v>2</v>
      </c>
      <c r="F372" s="7" t="str">
        <f t="shared" si="20"/>
        <v>Y</v>
      </c>
      <c r="G372" s="6">
        <f t="shared" si="21"/>
        <v>330.85</v>
      </c>
      <c r="H372" s="6">
        <f t="shared" si="22"/>
        <v>0</v>
      </c>
      <c r="I372" s="7">
        <v>9</v>
      </c>
      <c r="J372" s="7"/>
      <c r="K372" s="6">
        <f t="shared" si="23"/>
        <v>0</v>
      </c>
      <c r="L372" s="6">
        <f>'Invoice Data'!$B372+'Invoice Data'!$D372-'Invoice Data'!$G372-'Invoice Data'!$K372+'Invoice Data'!$H372</f>
        <v>6286.15</v>
      </c>
      <c r="M372" s="6" t="e">
        <f>VLOOKUP('Invoice Data'!$A372,BPay!$B$4:$D$10,3,0)</f>
        <v>#N/A</v>
      </c>
      <c r="N372" s="8"/>
    </row>
    <row r="373" spans="1:14" x14ac:dyDescent="0.3">
      <c r="A373" s="12">
        <v>34077</v>
      </c>
      <c r="B373" s="6">
        <v>0</v>
      </c>
      <c r="C373" s="7"/>
      <c r="D373" s="6">
        <v>3868</v>
      </c>
      <c r="E373" s="7">
        <v>1</v>
      </c>
      <c r="F373" s="7" t="str">
        <f t="shared" si="20"/>
        <v/>
      </c>
      <c r="G373" s="6">
        <f t="shared" si="21"/>
        <v>0</v>
      </c>
      <c r="H373" s="6">
        <f t="shared" si="22"/>
        <v>0</v>
      </c>
      <c r="I373" s="7">
        <v>5</v>
      </c>
      <c r="J373" s="7"/>
      <c r="K373" s="6">
        <f t="shared" si="23"/>
        <v>0</v>
      </c>
      <c r="L373" s="6">
        <f>'Invoice Data'!$B373+'Invoice Data'!$D373-'Invoice Data'!$G373-'Invoice Data'!$K373+'Invoice Data'!$H373</f>
        <v>3868</v>
      </c>
      <c r="M373" s="6" t="e">
        <f>VLOOKUP('Invoice Data'!$A373,BPay!$B$4:$D$10,3,0)</f>
        <v>#N/A</v>
      </c>
      <c r="N373" s="8"/>
    </row>
    <row r="374" spans="1:14" x14ac:dyDescent="0.3">
      <c r="A374" s="12">
        <v>34086</v>
      </c>
      <c r="B374" s="6">
        <v>0</v>
      </c>
      <c r="C374" s="7"/>
      <c r="D374" s="6">
        <v>5051</v>
      </c>
      <c r="E374" s="7">
        <v>1</v>
      </c>
      <c r="F374" s="7" t="str">
        <f t="shared" si="20"/>
        <v/>
      </c>
      <c r="G374" s="6">
        <f t="shared" si="21"/>
        <v>0</v>
      </c>
      <c r="H374" s="6">
        <f t="shared" si="22"/>
        <v>0</v>
      </c>
      <c r="I374" s="7">
        <v>7</v>
      </c>
      <c r="J374" s="7"/>
      <c r="K374" s="6">
        <f t="shared" si="23"/>
        <v>0</v>
      </c>
      <c r="L374" s="6">
        <f>'Invoice Data'!$B374+'Invoice Data'!$D374-'Invoice Data'!$G374-'Invoice Data'!$K374+'Invoice Data'!$H374</f>
        <v>5051</v>
      </c>
      <c r="M374" s="6" t="e">
        <f>VLOOKUP('Invoice Data'!$A374,BPay!$B$4:$D$10,3,0)</f>
        <v>#N/A</v>
      </c>
      <c r="N374" s="8"/>
    </row>
    <row r="375" spans="1:14" x14ac:dyDescent="0.3">
      <c r="A375" s="12">
        <v>34095</v>
      </c>
      <c r="B375" s="6">
        <v>0</v>
      </c>
      <c r="C375" s="7"/>
      <c r="D375" s="6">
        <v>7466</v>
      </c>
      <c r="E375" s="7">
        <v>2</v>
      </c>
      <c r="F375" s="7" t="str">
        <f t="shared" si="20"/>
        <v>Y</v>
      </c>
      <c r="G375" s="6">
        <f t="shared" si="21"/>
        <v>373.3</v>
      </c>
      <c r="H375" s="6">
        <f t="shared" si="22"/>
        <v>0</v>
      </c>
      <c r="I375" s="7">
        <v>15</v>
      </c>
      <c r="J375" s="7"/>
      <c r="K375" s="6">
        <f t="shared" si="23"/>
        <v>0</v>
      </c>
      <c r="L375" s="6">
        <f>'Invoice Data'!$B375+'Invoice Data'!$D375-'Invoice Data'!$G375-'Invoice Data'!$K375+'Invoice Data'!$H375</f>
        <v>7092.7</v>
      </c>
      <c r="M375" s="6" t="e">
        <f>VLOOKUP('Invoice Data'!$A375,BPay!$B$4:$D$10,3,0)</f>
        <v>#N/A</v>
      </c>
      <c r="N375" s="8"/>
    </row>
    <row r="376" spans="1:14" x14ac:dyDescent="0.3">
      <c r="A376" s="12">
        <v>34102</v>
      </c>
      <c r="B376" s="6">
        <v>0</v>
      </c>
      <c r="C376" s="7"/>
      <c r="D376" s="6">
        <v>4911</v>
      </c>
      <c r="E376" s="7">
        <v>1</v>
      </c>
      <c r="F376" s="7" t="str">
        <f t="shared" si="20"/>
        <v/>
      </c>
      <c r="G376" s="6">
        <f t="shared" si="21"/>
        <v>0</v>
      </c>
      <c r="H376" s="6">
        <f t="shared" si="22"/>
        <v>0</v>
      </c>
      <c r="I376" s="7">
        <v>0</v>
      </c>
      <c r="J376" s="7"/>
      <c r="K376" s="6">
        <f t="shared" si="23"/>
        <v>0</v>
      </c>
      <c r="L376" s="6">
        <f>'Invoice Data'!$B376+'Invoice Data'!$D376-'Invoice Data'!$G376-'Invoice Data'!$K376+'Invoice Data'!$H376</f>
        <v>4911</v>
      </c>
      <c r="M376" s="6" t="e">
        <f>VLOOKUP('Invoice Data'!$A376,BPay!$B$4:$D$10,3,0)</f>
        <v>#N/A</v>
      </c>
      <c r="N376" s="8"/>
    </row>
    <row r="377" spans="1:14" x14ac:dyDescent="0.3">
      <c r="A377" s="12">
        <v>34111</v>
      </c>
      <c r="B377" s="6">
        <v>0</v>
      </c>
      <c r="C377" s="7"/>
      <c r="D377" s="6">
        <v>8512</v>
      </c>
      <c r="E377" s="7">
        <v>2</v>
      </c>
      <c r="F377" s="7" t="str">
        <f t="shared" si="20"/>
        <v>Y</v>
      </c>
      <c r="G377" s="6">
        <f t="shared" si="21"/>
        <v>425.6</v>
      </c>
      <c r="H377" s="6">
        <f t="shared" si="22"/>
        <v>0</v>
      </c>
      <c r="I377" s="7">
        <v>10</v>
      </c>
      <c r="J377" s="7"/>
      <c r="K377" s="6">
        <f t="shared" si="23"/>
        <v>0</v>
      </c>
      <c r="L377" s="6">
        <f>'Invoice Data'!$B377+'Invoice Data'!$D377-'Invoice Data'!$G377-'Invoice Data'!$K377+'Invoice Data'!$H377</f>
        <v>8086.4</v>
      </c>
      <c r="M377" s="6" t="e">
        <f>VLOOKUP('Invoice Data'!$A377,BPay!$B$4:$D$10,3,0)</f>
        <v>#N/A</v>
      </c>
      <c r="N377" s="8"/>
    </row>
    <row r="378" spans="1:14" x14ac:dyDescent="0.3">
      <c r="A378" s="12">
        <v>34120</v>
      </c>
      <c r="B378" s="6">
        <v>0</v>
      </c>
      <c r="C378" s="7"/>
      <c r="D378" s="6">
        <v>4375</v>
      </c>
      <c r="E378" s="7">
        <v>1</v>
      </c>
      <c r="F378" s="7" t="str">
        <f t="shared" si="20"/>
        <v/>
      </c>
      <c r="G378" s="6">
        <f t="shared" si="21"/>
        <v>0</v>
      </c>
      <c r="H378" s="6">
        <f t="shared" si="22"/>
        <v>0</v>
      </c>
      <c r="I378" s="7">
        <v>10</v>
      </c>
      <c r="J378" s="7"/>
      <c r="K378" s="6">
        <f t="shared" si="23"/>
        <v>0</v>
      </c>
      <c r="L378" s="6">
        <f>'Invoice Data'!$B378+'Invoice Data'!$D378-'Invoice Data'!$G378-'Invoice Data'!$K378+'Invoice Data'!$H378</f>
        <v>4375</v>
      </c>
      <c r="M378" s="6" t="e">
        <f>VLOOKUP('Invoice Data'!$A378,BPay!$B$4:$D$10,3,0)</f>
        <v>#N/A</v>
      </c>
      <c r="N378" s="8"/>
    </row>
    <row r="379" spans="1:14" x14ac:dyDescent="0.3">
      <c r="A379" s="12">
        <v>34139</v>
      </c>
      <c r="B379" s="6">
        <v>0</v>
      </c>
      <c r="C379" s="7"/>
      <c r="D379" s="6">
        <v>5547</v>
      </c>
      <c r="E379" s="7">
        <v>1</v>
      </c>
      <c r="F379" s="7" t="str">
        <f t="shared" si="20"/>
        <v/>
      </c>
      <c r="G379" s="6">
        <f t="shared" si="21"/>
        <v>0</v>
      </c>
      <c r="H379" s="6">
        <f t="shared" si="22"/>
        <v>0</v>
      </c>
      <c r="I379" s="7">
        <v>15</v>
      </c>
      <c r="J379" s="7"/>
      <c r="K379" s="6">
        <f t="shared" si="23"/>
        <v>0</v>
      </c>
      <c r="L379" s="6">
        <f>'Invoice Data'!$B379+'Invoice Data'!$D379-'Invoice Data'!$G379-'Invoice Data'!$K379+'Invoice Data'!$H379</f>
        <v>5547</v>
      </c>
      <c r="M379" s="6" t="e">
        <f>VLOOKUP('Invoice Data'!$A379,BPay!$B$4:$D$10,3,0)</f>
        <v>#N/A</v>
      </c>
      <c r="N379" s="8"/>
    </row>
    <row r="380" spans="1:14" x14ac:dyDescent="0.3">
      <c r="A380" s="12">
        <v>34148</v>
      </c>
      <c r="B380" s="6">
        <v>0</v>
      </c>
      <c r="C380" s="7"/>
      <c r="D380" s="6">
        <v>3944</v>
      </c>
      <c r="E380" s="7">
        <v>1</v>
      </c>
      <c r="F380" s="7" t="str">
        <f t="shared" si="20"/>
        <v/>
      </c>
      <c r="G380" s="6">
        <f t="shared" si="21"/>
        <v>0</v>
      </c>
      <c r="H380" s="6">
        <f t="shared" si="22"/>
        <v>0</v>
      </c>
      <c r="I380" s="7">
        <v>10</v>
      </c>
      <c r="J380" s="7"/>
      <c r="K380" s="6">
        <f t="shared" si="23"/>
        <v>0</v>
      </c>
      <c r="L380" s="6">
        <f>'Invoice Data'!$B380+'Invoice Data'!$D380-'Invoice Data'!$G380-'Invoice Data'!$K380+'Invoice Data'!$H380</f>
        <v>3944</v>
      </c>
      <c r="M380" s="6" t="e">
        <f>VLOOKUP('Invoice Data'!$A380,BPay!$B$4:$D$10,3,0)</f>
        <v>#N/A</v>
      </c>
      <c r="N380" s="8"/>
    </row>
    <row r="381" spans="1:14" x14ac:dyDescent="0.3">
      <c r="A381" s="12">
        <v>34157</v>
      </c>
      <c r="B381" s="6">
        <v>2655</v>
      </c>
      <c r="C381" s="7"/>
      <c r="D381" s="6">
        <v>8419</v>
      </c>
      <c r="E381" s="7">
        <v>2</v>
      </c>
      <c r="F381" s="7" t="str">
        <f t="shared" si="20"/>
        <v>Y</v>
      </c>
      <c r="G381" s="6">
        <f t="shared" si="21"/>
        <v>420.95000000000005</v>
      </c>
      <c r="H381" s="6">
        <f t="shared" si="22"/>
        <v>265.5</v>
      </c>
      <c r="I381" s="7">
        <v>1</v>
      </c>
      <c r="J381" s="7"/>
      <c r="K381" s="6">
        <f t="shared" si="23"/>
        <v>0</v>
      </c>
      <c r="L381" s="6">
        <f>'Invoice Data'!$B381+'Invoice Data'!$D381-'Invoice Data'!$G381-'Invoice Data'!$K381+'Invoice Data'!$H381</f>
        <v>10918.55</v>
      </c>
      <c r="M381" s="6" t="e">
        <f>VLOOKUP('Invoice Data'!$A381,BPay!$B$4:$D$10,3,0)</f>
        <v>#N/A</v>
      </c>
      <c r="N381" s="8"/>
    </row>
    <row r="382" spans="1:14" x14ac:dyDescent="0.3">
      <c r="A382" s="12">
        <v>34166</v>
      </c>
      <c r="B382" s="6">
        <v>0</v>
      </c>
      <c r="C382" s="7"/>
      <c r="D382" s="6">
        <v>3824</v>
      </c>
      <c r="E382" s="7">
        <v>1</v>
      </c>
      <c r="F382" s="7" t="str">
        <f t="shared" si="20"/>
        <v/>
      </c>
      <c r="G382" s="6">
        <f t="shared" si="21"/>
        <v>0</v>
      </c>
      <c r="H382" s="6">
        <f t="shared" si="22"/>
        <v>0</v>
      </c>
      <c r="I382" s="7">
        <v>0</v>
      </c>
      <c r="J382" s="7"/>
      <c r="K382" s="6">
        <f t="shared" si="23"/>
        <v>0</v>
      </c>
      <c r="L382" s="6">
        <f>'Invoice Data'!$B382+'Invoice Data'!$D382-'Invoice Data'!$G382-'Invoice Data'!$K382+'Invoice Data'!$H382</f>
        <v>3824</v>
      </c>
      <c r="M382" s="6" t="e">
        <f>VLOOKUP('Invoice Data'!$A382,BPay!$B$4:$D$10,3,0)</f>
        <v>#N/A</v>
      </c>
      <c r="N382" s="8"/>
    </row>
    <row r="383" spans="1:14" x14ac:dyDescent="0.3">
      <c r="A383" s="12">
        <v>34175</v>
      </c>
      <c r="B383" s="6">
        <v>0</v>
      </c>
      <c r="C383" s="7"/>
      <c r="D383" s="6">
        <v>6622</v>
      </c>
      <c r="E383" s="7">
        <v>2</v>
      </c>
      <c r="F383" s="7" t="str">
        <f t="shared" si="20"/>
        <v>Y</v>
      </c>
      <c r="G383" s="6">
        <f t="shared" si="21"/>
        <v>331.1</v>
      </c>
      <c r="H383" s="6">
        <f t="shared" si="22"/>
        <v>0</v>
      </c>
      <c r="I383" s="7">
        <v>10</v>
      </c>
      <c r="J383" s="7"/>
      <c r="K383" s="6">
        <f t="shared" si="23"/>
        <v>0</v>
      </c>
      <c r="L383" s="6">
        <f>'Invoice Data'!$B383+'Invoice Data'!$D383-'Invoice Data'!$G383-'Invoice Data'!$K383+'Invoice Data'!$H383</f>
        <v>6290.9</v>
      </c>
      <c r="M383" s="6" t="e">
        <f>VLOOKUP('Invoice Data'!$A383,BPay!$B$4:$D$10,3,0)</f>
        <v>#N/A</v>
      </c>
      <c r="N383" s="8"/>
    </row>
    <row r="384" spans="1:14" x14ac:dyDescent="0.3">
      <c r="A384" s="12">
        <v>34184</v>
      </c>
      <c r="B384" s="6">
        <v>2858</v>
      </c>
      <c r="C384" s="7"/>
      <c r="D384" s="6">
        <v>10189</v>
      </c>
      <c r="E384" s="7">
        <v>2</v>
      </c>
      <c r="F384" s="7" t="str">
        <f t="shared" si="20"/>
        <v>Y</v>
      </c>
      <c r="G384" s="6">
        <f t="shared" si="21"/>
        <v>509.45000000000005</v>
      </c>
      <c r="H384" s="6">
        <f t="shared" si="22"/>
        <v>285.8</v>
      </c>
      <c r="I384" s="7">
        <v>6</v>
      </c>
      <c r="J384" s="7"/>
      <c r="K384" s="6">
        <f t="shared" si="23"/>
        <v>0</v>
      </c>
      <c r="L384" s="6">
        <f>'Invoice Data'!$B384+'Invoice Data'!$D384-'Invoice Data'!$G384-'Invoice Data'!$K384+'Invoice Data'!$H384</f>
        <v>12823.349999999999</v>
      </c>
      <c r="M384" s="6" t="e">
        <f>VLOOKUP('Invoice Data'!$A384,BPay!$B$4:$D$10,3,0)</f>
        <v>#N/A</v>
      </c>
      <c r="N384" s="8"/>
    </row>
    <row r="385" spans="1:14" x14ac:dyDescent="0.3">
      <c r="A385" s="12">
        <v>34193</v>
      </c>
      <c r="B385" s="6">
        <v>0</v>
      </c>
      <c r="C385" s="7"/>
      <c r="D385" s="6">
        <v>4354</v>
      </c>
      <c r="E385" s="7">
        <v>1</v>
      </c>
      <c r="F385" s="7" t="str">
        <f t="shared" si="20"/>
        <v/>
      </c>
      <c r="G385" s="6">
        <f t="shared" si="21"/>
        <v>0</v>
      </c>
      <c r="H385" s="6">
        <f t="shared" si="22"/>
        <v>0</v>
      </c>
      <c r="I385" s="7">
        <v>0</v>
      </c>
      <c r="J385" s="7" t="b">
        <v>1</v>
      </c>
      <c r="K385" s="6">
        <f t="shared" si="23"/>
        <v>250</v>
      </c>
      <c r="L385" s="6">
        <f>'Invoice Data'!$B385+'Invoice Data'!$D385-'Invoice Data'!$G385-'Invoice Data'!$K385+'Invoice Data'!$H385</f>
        <v>4104</v>
      </c>
      <c r="M385" s="6" t="e">
        <f>VLOOKUP('Invoice Data'!$A385,BPay!$B$4:$D$10,3,0)</f>
        <v>#N/A</v>
      </c>
      <c r="N385" s="8"/>
    </row>
    <row r="386" spans="1:14" x14ac:dyDescent="0.3">
      <c r="A386" s="12">
        <v>34200</v>
      </c>
      <c r="B386" s="6">
        <v>0</v>
      </c>
      <c r="C386" s="7"/>
      <c r="D386" s="6">
        <v>4944</v>
      </c>
      <c r="E386" s="7">
        <v>1</v>
      </c>
      <c r="F386" s="7" t="str">
        <f t="shared" si="20"/>
        <v/>
      </c>
      <c r="G386" s="6">
        <f t="shared" si="21"/>
        <v>0</v>
      </c>
      <c r="H386" s="6">
        <f t="shared" si="22"/>
        <v>0</v>
      </c>
      <c r="I386" s="7">
        <v>13</v>
      </c>
      <c r="J386" s="7"/>
      <c r="K386" s="6">
        <f t="shared" si="23"/>
        <v>0</v>
      </c>
      <c r="L386" s="6">
        <f>'Invoice Data'!$B386+'Invoice Data'!$D386-'Invoice Data'!$G386-'Invoice Data'!$K386+'Invoice Data'!$H386</f>
        <v>4944</v>
      </c>
      <c r="M386" s="6" t="e">
        <f>VLOOKUP('Invoice Data'!$A386,BPay!$B$4:$D$10,3,0)</f>
        <v>#N/A</v>
      </c>
      <c r="N386" s="8"/>
    </row>
    <row r="387" spans="1:14" x14ac:dyDescent="0.3">
      <c r="A387" s="12">
        <v>34219</v>
      </c>
      <c r="B387" s="6">
        <v>0</v>
      </c>
      <c r="C387" s="7"/>
      <c r="D387" s="6">
        <v>4984</v>
      </c>
      <c r="E387" s="7">
        <v>1</v>
      </c>
      <c r="F387" s="7" t="str">
        <f t="shared" si="20"/>
        <v/>
      </c>
      <c r="G387" s="6">
        <f t="shared" si="21"/>
        <v>0</v>
      </c>
      <c r="H387" s="6">
        <f t="shared" si="22"/>
        <v>0</v>
      </c>
      <c r="I387" s="7">
        <v>4</v>
      </c>
      <c r="J387" s="7"/>
      <c r="K387" s="6">
        <f t="shared" si="23"/>
        <v>0</v>
      </c>
      <c r="L387" s="6">
        <f>'Invoice Data'!$B387+'Invoice Data'!$D387-'Invoice Data'!$G387-'Invoice Data'!$K387+'Invoice Data'!$H387</f>
        <v>4984</v>
      </c>
      <c r="M387" s="6" t="e">
        <f>VLOOKUP('Invoice Data'!$A387,BPay!$B$4:$D$10,3,0)</f>
        <v>#N/A</v>
      </c>
      <c r="N387" s="8"/>
    </row>
    <row r="388" spans="1:14" x14ac:dyDescent="0.3">
      <c r="A388" s="12">
        <v>34228</v>
      </c>
      <c r="B388" s="6">
        <v>0</v>
      </c>
      <c r="C388" s="7"/>
      <c r="D388" s="6">
        <v>7831</v>
      </c>
      <c r="E388" s="7">
        <v>2</v>
      </c>
      <c r="F388" s="7" t="str">
        <f t="shared" si="20"/>
        <v>Y</v>
      </c>
      <c r="G388" s="6">
        <f t="shared" si="21"/>
        <v>391.55</v>
      </c>
      <c r="H388" s="6">
        <f t="shared" si="22"/>
        <v>0</v>
      </c>
      <c r="I388" s="7">
        <v>7</v>
      </c>
      <c r="J388" s="7"/>
      <c r="K388" s="6">
        <f t="shared" si="23"/>
        <v>0</v>
      </c>
      <c r="L388" s="6">
        <f>'Invoice Data'!$B388+'Invoice Data'!$D388-'Invoice Data'!$G388-'Invoice Data'!$K388+'Invoice Data'!$H388</f>
        <v>7439.45</v>
      </c>
      <c r="M388" s="6" t="e">
        <f>VLOOKUP('Invoice Data'!$A388,BPay!$B$4:$D$10,3,0)</f>
        <v>#N/A</v>
      </c>
      <c r="N388" s="8"/>
    </row>
    <row r="389" spans="1:14" x14ac:dyDescent="0.3">
      <c r="A389" s="12">
        <v>34237</v>
      </c>
      <c r="B389" s="6">
        <v>0</v>
      </c>
      <c r="C389" s="7"/>
      <c r="D389" s="6">
        <v>3829</v>
      </c>
      <c r="E389" s="7">
        <v>1</v>
      </c>
      <c r="F389" s="7" t="str">
        <f t="shared" si="20"/>
        <v/>
      </c>
      <c r="G389" s="6">
        <f t="shared" si="21"/>
        <v>0</v>
      </c>
      <c r="H389" s="6">
        <f t="shared" si="22"/>
        <v>0</v>
      </c>
      <c r="I389" s="7">
        <v>1</v>
      </c>
      <c r="J389" s="7"/>
      <c r="K389" s="6">
        <f t="shared" si="23"/>
        <v>0</v>
      </c>
      <c r="L389" s="6">
        <f>'Invoice Data'!$B389+'Invoice Data'!$D389-'Invoice Data'!$G389-'Invoice Data'!$K389+'Invoice Data'!$H389</f>
        <v>3829</v>
      </c>
      <c r="M389" s="6" t="e">
        <f>VLOOKUP('Invoice Data'!$A389,BPay!$B$4:$D$10,3,0)</f>
        <v>#N/A</v>
      </c>
      <c r="N389" s="8"/>
    </row>
    <row r="390" spans="1:14" x14ac:dyDescent="0.3">
      <c r="A390" s="12">
        <v>34246</v>
      </c>
      <c r="B390" s="6">
        <v>0</v>
      </c>
      <c r="C390" s="7"/>
      <c r="D390" s="6">
        <v>3873</v>
      </c>
      <c r="E390" s="7">
        <v>1</v>
      </c>
      <c r="F390" s="7" t="str">
        <f t="shared" si="20"/>
        <v/>
      </c>
      <c r="G390" s="6">
        <f t="shared" si="21"/>
        <v>0</v>
      </c>
      <c r="H390" s="6">
        <f t="shared" si="22"/>
        <v>0</v>
      </c>
      <c r="I390" s="7">
        <v>4</v>
      </c>
      <c r="J390" s="7"/>
      <c r="K390" s="6">
        <f t="shared" si="23"/>
        <v>0</v>
      </c>
      <c r="L390" s="6">
        <f>'Invoice Data'!$B390+'Invoice Data'!$D390-'Invoice Data'!$G390-'Invoice Data'!$K390+'Invoice Data'!$H390</f>
        <v>3873</v>
      </c>
      <c r="M390" s="6" t="e">
        <f>VLOOKUP('Invoice Data'!$A390,BPay!$B$4:$D$10,3,0)</f>
        <v>#N/A</v>
      </c>
      <c r="N390" s="8"/>
    </row>
    <row r="391" spans="1:14" x14ac:dyDescent="0.3">
      <c r="A391" s="12">
        <v>34255</v>
      </c>
      <c r="B391" s="6">
        <v>0</v>
      </c>
      <c r="C391" s="7"/>
      <c r="D391" s="6">
        <v>7133</v>
      </c>
      <c r="E391" s="7">
        <v>2</v>
      </c>
      <c r="F391" s="7" t="str">
        <f t="shared" si="20"/>
        <v>Y</v>
      </c>
      <c r="G391" s="6">
        <f t="shared" si="21"/>
        <v>356.65000000000003</v>
      </c>
      <c r="H391" s="6">
        <f t="shared" si="22"/>
        <v>0</v>
      </c>
      <c r="I391" s="7">
        <v>8</v>
      </c>
      <c r="J391" s="7"/>
      <c r="K391" s="6">
        <f t="shared" si="23"/>
        <v>0</v>
      </c>
      <c r="L391" s="6">
        <f>'Invoice Data'!$B391+'Invoice Data'!$D391-'Invoice Data'!$G391-'Invoice Data'!$K391+'Invoice Data'!$H391</f>
        <v>6776.35</v>
      </c>
      <c r="M391" s="6" t="e">
        <f>VLOOKUP('Invoice Data'!$A391,BPay!$B$4:$D$10,3,0)</f>
        <v>#N/A</v>
      </c>
      <c r="N391" s="8"/>
    </row>
    <row r="392" spans="1:14" x14ac:dyDescent="0.3">
      <c r="A392" s="12">
        <v>34264</v>
      </c>
      <c r="B392" s="6">
        <v>0</v>
      </c>
      <c r="C392" s="7"/>
      <c r="D392" s="6">
        <v>9792</v>
      </c>
      <c r="E392" s="7">
        <v>2</v>
      </c>
      <c r="F392" s="7" t="str">
        <f t="shared" si="20"/>
        <v>Y</v>
      </c>
      <c r="G392" s="6">
        <f t="shared" si="21"/>
        <v>489.6</v>
      </c>
      <c r="H392" s="6">
        <f t="shared" si="22"/>
        <v>0</v>
      </c>
      <c r="I392" s="7">
        <v>8</v>
      </c>
      <c r="J392" s="7"/>
      <c r="K392" s="6">
        <f t="shared" si="23"/>
        <v>0</v>
      </c>
      <c r="L392" s="6">
        <f>'Invoice Data'!$B392+'Invoice Data'!$D392-'Invoice Data'!$G392-'Invoice Data'!$K392+'Invoice Data'!$H392</f>
        <v>9302.4</v>
      </c>
      <c r="M392" s="6" t="e">
        <f>VLOOKUP('Invoice Data'!$A392,BPay!$B$4:$D$10,3,0)</f>
        <v>#N/A</v>
      </c>
      <c r="N392" s="8"/>
    </row>
    <row r="393" spans="1:14" x14ac:dyDescent="0.3">
      <c r="A393" s="12">
        <v>34273</v>
      </c>
      <c r="B393" s="6">
        <v>0</v>
      </c>
      <c r="C393" s="7"/>
      <c r="D393" s="6">
        <v>3801</v>
      </c>
      <c r="E393" s="7">
        <v>1</v>
      </c>
      <c r="F393" s="7" t="str">
        <f t="shared" ref="F393:F456" si="24">IF(E393&gt;=2,"Y", "")</f>
        <v/>
      </c>
      <c r="G393" s="6">
        <f t="shared" ref="G393:G456" si="25">IF(F393="y",D393*5%,0)</f>
        <v>0</v>
      </c>
      <c r="H393" s="6">
        <f t="shared" ref="H393:H456" si="26">IF(AND(B393&gt;0,C393&lt;&gt;"Y"),B393*10%,0)</f>
        <v>0</v>
      </c>
      <c r="I393" s="7">
        <v>2</v>
      </c>
      <c r="J393" s="7"/>
      <c r="K393" s="6">
        <f t="shared" ref="K393:K456" si="27">IF(OR(I393&gt;=16,J393),250,0)</f>
        <v>0</v>
      </c>
      <c r="L393" s="6">
        <f>'Invoice Data'!$B393+'Invoice Data'!$D393-'Invoice Data'!$G393-'Invoice Data'!$K393+'Invoice Data'!$H393</f>
        <v>3801</v>
      </c>
      <c r="M393" s="6" t="e">
        <f>VLOOKUP('Invoice Data'!$A393,BPay!$B$4:$D$10,3,0)</f>
        <v>#N/A</v>
      </c>
      <c r="N393" s="8"/>
    </row>
    <row r="394" spans="1:14" x14ac:dyDescent="0.3">
      <c r="A394" s="12">
        <v>34282</v>
      </c>
      <c r="B394" s="6">
        <v>0</v>
      </c>
      <c r="C394" s="7"/>
      <c r="D394" s="6">
        <v>3546</v>
      </c>
      <c r="E394" s="7">
        <v>1</v>
      </c>
      <c r="F394" s="7" t="str">
        <f t="shared" si="24"/>
        <v/>
      </c>
      <c r="G394" s="6">
        <f t="shared" si="25"/>
        <v>0</v>
      </c>
      <c r="H394" s="6">
        <f t="shared" si="26"/>
        <v>0</v>
      </c>
      <c r="I394" s="7">
        <v>10</v>
      </c>
      <c r="J394" s="7"/>
      <c r="K394" s="6">
        <f t="shared" si="27"/>
        <v>0</v>
      </c>
      <c r="L394" s="6">
        <f>'Invoice Data'!$B394+'Invoice Data'!$D394-'Invoice Data'!$G394-'Invoice Data'!$K394+'Invoice Data'!$H394</f>
        <v>3546</v>
      </c>
      <c r="M394" s="6" t="e">
        <f>VLOOKUP('Invoice Data'!$A394,BPay!$B$4:$D$10,3,0)</f>
        <v>#N/A</v>
      </c>
      <c r="N394" s="8"/>
    </row>
    <row r="395" spans="1:14" x14ac:dyDescent="0.3">
      <c r="A395" s="12">
        <v>34291</v>
      </c>
      <c r="B395" s="6">
        <v>0</v>
      </c>
      <c r="C395" s="7"/>
      <c r="D395" s="6">
        <v>5251</v>
      </c>
      <c r="E395" s="7">
        <v>1</v>
      </c>
      <c r="F395" s="7" t="str">
        <f t="shared" si="24"/>
        <v/>
      </c>
      <c r="G395" s="6">
        <f t="shared" si="25"/>
        <v>0</v>
      </c>
      <c r="H395" s="6">
        <f t="shared" si="26"/>
        <v>0</v>
      </c>
      <c r="I395" s="7">
        <v>2</v>
      </c>
      <c r="J395" s="7"/>
      <c r="K395" s="6">
        <f t="shared" si="27"/>
        <v>0</v>
      </c>
      <c r="L395" s="6">
        <f>'Invoice Data'!$B395+'Invoice Data'!$D395-'Invoice Data'!$G395-'Invoice Data'!$K395+'Invoice Data'!$H395</f>
        <v>5251</v>
      </c>
      <c r="M395" s="6" t="e">
        <f>VLOOKUP('Invoice Data'!$A395,BPay!$B$4:$D$10,3,0)</f>
        <v>#N/A</v>
      </c>
      <c r="N395" s="8"/>
    </row>
    <row r="396" spans="1:14" x14ac:dyDescent="0.3">
      <c r="A396" s="12">
        <v>34308</v>
      </c>
      <c r="B396" s="6">
        <v>0</v>
      </c>
      <c r="C396" s="7"/>
      <c r="D396" s="6">
        <v>8017</v>
      </c>
      <c r="E396" s="7">
        <v>2</v>
      </c>
      <c r="F396" s="7" t="str">
        <f t="shared" si="24"/>
        <v>Y</v>
      </c>
      <c r="G396" s="6">
        <f t="shared" si="25"/>
        <v>400.85</v>
      </c>
      <c r="H396" s="6">
        <f t="shared" si="26"/>
        <v>0</v>
      </c>
      <c r="I396" s="7">
        <v>14</v>
      </c>
      <c r="J396" s="7"/>
      <c r="K396" s="6">
        <f t="shared" si="27"/>
        <v>0</v>
      </c>
      <c r="L396" s="6">
        <f>'Invoice Data'!$B396+'Invoice Data'!$D396-'Invoice Data'!$G396-'Invoice Data'!$K396+'Invoice Data'!$H396</f>
        <v>7616.15</v>
      </c>
      <c r="M396" s="6" t="e">
        <f>VLOOKUP('Invoice Data'!$A396,BPay!$B$4:$D$10,3,0)</f>
        <v>#N/A</v>
      </c>
      <c r="N396" s="8"/>
    </row>
    <row r="397" spans="1:14" x14ac:dyDescent="0.3">
      <c r="A397" s="12">
        <v>34317</v>
      </c>
      <c r="B397" s="6">
        <v>0</v>
      </c>
      <c r="C397" s="7"/>
      <c r="D397" s="6">
        <v>10042</v>
      </c>
      <c r="E397" s="7">
        <v>2</v>
      </c>
      <c r="F397" s="7" t="str">
        <f t="shared" si="24"/>
        <v>Y</v>
      </c>
      <c r="G397" s="6">
        <f t="shared" si="25"/>
        <v>502.1</v>
      </c>
      <c r="H397" s="6">
        <f t="shared" si="26"/>
        <v>0</v>
      </c>
      <c r="I397" s="7">
        <v>7</v>
      </c>
      <c r="J397" s="7"/>
      <c r="K397" s="6">
        <f t="shared" si="27"/>
        <v>0</v>
      </c>
      <c r="L397" s="6">
        <f>'Invoice Data'!$B397+'Invoice Data'!$D397-'Invoice Data'!$G397-'Invoice Data'!$K397+'Invoice Data'!$H397</f>
        <v>9539.9</v>
      </c>
      <c r="M397" s="6" t="e">
        <f>VLOOKUP('Invoice Data'!$A397,BPay!$B$4:$D$10,3,0)</f>
        <v>#N/A</v>
      </c>
      <c r="N397" s="8"/>
    </row>
    <row r="398" spans="1:14" x14ac:dyDescent="0.3">
      <c r="A398" s="12">
        <v>34326</v>
      </c>
      <c r="B398" s="6">
        <v>0</v>
      </c>
      <c r="C398" s="7"/>
      <c r="D398" s="6">
        <v>7284</v>
      </c>
      <c r="E398" s="7">
        <v>2</v>
      </c>
      <c r="F398" s="7" t="str">
        <f t="shared" si="24"/>
        <v>Y</v>
      </c>
      <c r="G398" s="6">
        <f t="shared" si="25"/>
        <v>364.20000000000005</v>
      </c>
      <c r="H398" s="6">
        <f t="shared" si="26"/>
        <v>0</v>
      </c>
      <c r="I398" s="7">
        <v>5</v>
      </c>
      <c r="J398" s="7"/>
      <c r="K398" s="6">
        <f t="shared" si="27"/>
        <v>0</v>
      </c>
      <c r="L398" s="6">
        <f>'Invoice Data'!$B398+'Invoice Data'!$D398-'Invoice Data'!$G398-'Invoice Data'!$K398+'Invoice Data'!$H398</f>
        <v>6919.8</v>
      </c>
      <c r="M398" s="6" t="e">
        <f>VLOOKUP('Invoice Data'!$A398,BPay!$B$4:$D$10,3,0)</f>
        <v>#N/A</v>
      </c>
      <c r="N398" s="8"/>
    </row>
    <row r="399" spans="1:14" x14ac:dyDescent="0.3">
      <c r="A399" s="12">
        <v>34335</v>
      </c>
      <c r="B399" s="6">
        <v>0</v>
      </c>
      <c r="C399" s="7"/>
      <c r="D399" s="6">
        <v>5249</v>
      </c>
      <c r="E399" s="7">
        <v>1</v>
      </c>
      <c r="F399" s="7" t="str">
        <f t="shared" si="24"/>
        <v/>
      </c>
      <c r="G399" s="6">
        <f t="shared" si="25"/>
        <v>0</v>
      </c>
      <c r="H399" s="6">
        <f t="shared" si="26"/>
        <v>0</v>
      </c>
      <c r="I399" s="7">
        <v>6</v>
      </c>
      <c r="J399" s="7"/>
      <c r="K399" s="6">
        <f t="shared" si="27"/>
        <v>0</v>
      </c>
      <c r="L399" s="6">
        <f>'Invoice Data'!$B399+'Invoice Data'!$D399-'Invoice Data'!$G399-'Invoice Data'!$K399+'Invoice Data'!$H399</f>
        <v>5249</v>
      </c>
      <c r="M399" s="6" t="e">
        <f>VLOOKUP('Invoice Data'!$A399,BPay!$B$4:$D$10,3,0)</f>
        <v>#N/A</v>
      </c>
      <c r="N399" s="8"/>
    </row>
    <row r="400" spans="1:14" x14ac:dyDescent="0.3">
      <c r="A400" s="12">
        <v>34344</v>
      </c>
      <c r="B400" s="6">
        <v>0</v>
      </c>
      <c r="C400" s="7"/>
      <c r="D400" s="6">
        <v>7033</v>
      </c>
      <c r="E400" s="7">
        <v>2</v>
      </c>
      <c r="F400" s="7" t="str">
        <f t="shared" si="24"/>
        <v>Y</v>
      </c>
      <c r="G400" s="6">
        <f t="shared" si="25"/>
        <v>351.65000000000003</v>
      </c>
      <c r="H400" s="6">
        <f t="shared" si="26"/>
        <v>0</v>
      </c>
      <c r="I400" s="7">
        <v>0</v>
      </c>
      <c r="J400" s="7"/>
      <c r="K400" s="6">
        <f t="shared" si="27"/>
        <v>0</v>
      </c>
      <c r="L400" s="6">
        <f>'Invoice Data'!$B400+'Invoice Data'!$D400-'Invoice Data'!$G400-'Invoice Data'!$K400+'Invoice Data'!$H400</f>
        <v>6681.35</v>
      </c>
      <c r="M400" s="6" t="e">
        <f>VLOOKUP('Invoice Data'!$A400,BPay!$B$4:$D$10,3,0)</f>
        <v>#N/A</v>
      </c>
      <c r="N400" s="8"/>
    </row>
    <row r="401" spans="1:14" x14ac:dyDescent="0.3">
      <c r="A401" s="12">
        <v>34353</v>
      </c>
      <c r="B401" s="6">
        <v>0</v>
      </c>
      <c r="C401" s="7"/>
      <c r="D401" s="6">
        <v>4801</v>
      </c>
      <c r="E401" s="7">
        <v>1</v>
      </c>
      <c r="F401" s="7" t="str">
        <f t="shared" si="24"/>
        <v/>
      </c>
      <c r="G401" s="6">
        <f t="shared" si="25"/>
        <v>0</v>
      </c>
      <c r="H401" s="6">
        <f t="shared" si="26"/>
        <v>0</v>
      </c>
      <c r="I401" s="7">
        <v>8</v>
      </c>
      <c r="J401" s="7"/>
      <c r="K401" s="6">
        <f t="shared" si="27"/>
        <v>0</v>
      </c>
      <c r="L401" s="6">
        <f>'Invoice Data'!$B401+'Invoice Data'!$D401-'Invoice Data'!$G401-'Invoice Data'!$K401+'Invoice Data'!$H401</f>
        <v>4801</v>
      </c>
      <c r="M401" s="6" t="e">
        <f>VLOOKUP('Invoice Data'!$A401,BPay!$B$4:$D$10,3,0)</f>
        <v>#N/A</v>
      </c>
      <c r="N401" s="8"/>
    </row>
    <row r="402" spans="1:14" x14ac:dyDescent="0.3">
      <c r="A402" s="12">
        <v>34362</v>
      </c>
      <c r="B402" s="6">
        <v>0</v>
      </c>
      <c r="C402" s="7"/>
      <c r="D402" s="6">
        <v>4251</v>
      </c>
      <c r="E402" s="7">
        <v>1</v>
      </c>
      <c r="F402" s="7" t="str">
        <f t="shared" si="24"/>
        <v/>
      </c>
      <c r="G402" s="6">
        <f t="shared" si="25"/>
        <v>0</v>
      </c>
      <c r="H402" s="6">
        <f t="shared" si="26"/>
        <v>0</v>
      </c>
      <c r="I402" s="7">
        <v>7</v>
      </c>
      <c r="J402" s="7"/>
      <c r="K402" s="6">
        <f t="shared" si="27"/>
        <v>0</v>
      </c>
      <c r="L402" s="6">
        <f>'Invoice Data'!$B402+'Invoice Data'!$D402-'Invoice Data'!$G402-'Invoice Data'!$K402+'Invoice Data'!$H402</f>
        <v>4251</v>
      </c>
      <c r="M402" s="6" t="e">
        <f>VLOOKUP('Invoice Data'!$A402,BPay!$B$4:$D$10,3,0)</f>
        <v>#N/A</v>
      </c>
      <c r="N402" s="8"/>
    </row>
    <row r="403" spans="1:14" x14ac:dyDescent="0.3">
      <c r="A403" s="12">
        <v>34371</v>
      </c>
      <c r="B403" s="6">
        <v>0</v>
      </c>
      <c r="C403" s="7"/>
      <c r="D403" s="6">
        <v>5425</v>
      </c>
      <c r="E403" s="7">
        <v>1</v>
      </c>
      <c r="F403" s="7" t="str">
        <f t="shared" si="24"/>
        <v/>
      </c>
      <c r="G403" s="6">
        <f t="shared" si="25"/>
        <v>0</v>
      </c>
      <c r="H403" s="6">
        <f t="shared" si="26"/>
        <v>0</v>
      </c>
      <c r="I403" s="7">
        <v>6</v>
      </c>
      <c r="J403" s="7"/>
      <c r="K403" s="6">
        <f t="shared" si="27"/>
        <v>0</v>
      </c>
      <c r="L403" s="6">
        <f>'Invoice Data'!$B403+'Invoice Data'!$D403-'Invoice Data'!$G403-'Invoice Data'!$K403+'Invoice Data'!$H403</f>
        <v>5425</v>
      </c>
      <c r="M403" s="6" t="e">
        <f>VLOOKUP('Invoice Data'!$A403,BPay!$B$4:$D$10,3,0)</f>
        <v>#N/A</v>
      </c>
      <c r="N403" s="8"/>
    </row>
    <row r="404" spans="1:14" x14ac:dyDescent="0.3">
      <c r="A404" s="12">
        <v>34380</v>
      </c>
      <c r="B404" s="6">
        <v>0</v>
      </c>
      <c r="C404" s="7"/>
      <c r="D404" s="6">
        <v>6536</v>
      </c>
      <c r="E404" s="7">
        <v>2</v>
      </c>
      <c r="F404" s="7" t="str">
        <f t="shared" si="24"/>
        <v>Y</v>
      </c>
      <c r="G404" s="6">
        <f t="shared" si="25"/>
        <v>326.8</v>
      </c>
      <c r="H404" s="6">
        <f t="shared" si="26"/>
        <v>0</v>
      </c>
      <c r="I404" s="7">
        <v>7</v>
      </c>
      <c r="J404" s="7"/>
      <c r="K404" s="6">
        <f t="shared" si="27"/>
        <v>0</v>
      </c>
      <c r="L404" s="6">
        <f>'Invoice Data'!$B404+'Invoice Data'!$D404-'Invoice Data'!$G404-'Invoice Data'!$K404+'Invoice Data'!$H404</f>
        <v>6209.2</v>
      </c>
      <c r="M404" s="6" t="e">
        <f>VLOOKUP('Invoice Data'!$A404,BPay!$B$4:$D$10,3,0)</f>
        <v>#N/A</v>
      </c>
      <c r="N404" s="8"/>
    </row>
    <row r="405" spans="1:14" x14ac:dyDescent="0.3">
      <c r="A405" s="12">
        <v>34399</v>
      </c>
      <c r="B405" s="6">
        <v>0</v>
      </c>
      <c r="C405" s="7"/>
      <c r="D405" s="6">
        <v>7231</v>
      </c>
      <c r="E405" s="7">
        <v>2</v>
      </c>
      <c r="F405" s="7" t="str">
        <f t="shared" si="24"/>
        <v>Y</v>
      </c>
      <c r="G405" s="6">
        <f t="shared" si="25"/>
        <v>361.55</v>
      </c>
      <c r="H405" s="6">
        <f t="shared" si="26"/>
        <v>0</v>
      </c>
      <c r="I405" s="7">
        <v>12</v>
      </c>
      <c r="J405" s="7"/>
      <c r="K405" s="6">
        <f t="shared" si="27"/>
        <v>0</v>
      </c>
      <c r="L405" s="6">
        <f>'Invoice Data'!$B405+'Invoice Data'!$D405-'Invoice Data'!$G405-'Invoice Data'!$K405+'Invoice Data'!$H405</f>
        <v>6869.45</v>
      </c>
      <c r="M405" s="6" t="e">
        <f>VLOOKUP('Invoice Data'!$A405,BPay!$B$4:$D$10,3,0)</f>
        <v>#N/A</v>
      </c>
      <c r="N405" s="8"/>
    </row>
    <row r="406" spans="1:14" x14ac:dyDescent="0.3">
      <c r="A406" s="12">
        <v>34406</v>
      </c>
      <c r="B406" s="6">
        <v>0</v>
      </c>
      <c r="C406" s="7"/>
      <c r="D406" s="6">
        <v>4674</v>
      </c>
      <c r="E406" s="7">
        <v>1</v>
      </c>
      <c r="F406" s="7" t="str">
        <f t="shared" si="24"/>
        <v/>
      </c>
      <c r="G406" s="6">
        <f t="shared" si="25"/>
        <v>0</v>
      </c>
      <c r="H406" s="6">
        <f t="shared" si="26"/>
        <v>0</v>
      </c>
      <c r="I406" s="7">
        <v>2</v>
      </c>
      <c r="J406" s="7"/>
      <c r="K406" s="6">
        <f t="shared" si="27"/>
        <v>0</v>
      </c>
      <c r="L406" s="6">
        <f>'Invoice Data'!$B406+'Invoice Data'!$D406-'Invoice Data'!$G406-'Invoice Data'!$K406+'Invoice Data'!$H406</f>
        <v>4674</v>
      </c>
      <c r="M406" s="6" t="e">
        <f>VLOOKUP('Invoice Data'!$A406,BPay!$B$4:$D$10,3,0)</f>
        <v>#N/A</v>
      </c>
      <c r="N406" s="8"/>
    </row>
    <row r="407" spans="1:14" x14ac:dyDescent="0.3">
      <c r="A407" s="12">
        <v>34415</v>
      </c>
      <c r="B407" s="6">
        <v>0</v>
      </c>
      <c r="C407" s="7"/>
      <c r="D407" s="6">
        <v>4988</v>
      </c>
      <c r="E407" s="7">
        <v>1</v>
      </c>
      <c r="F407" s="7" t="str">
        <f t="shared" si="24"/>
        <v/>
      </c>
      <c r="G407" s="6">
        <f t="shared" si="25"/>
        <v>0</v>
      </c>
      <c r="H407" s="6">
        <f t="shared" si="26"/>
        <v>0</v>
      </c>
      <c r="I407" s="7">
        <v>10</v>
      </c>
      <c r="J407" s="7"/>
      <c r="K407" s="6">
        <f t="shared" si="27"/>
        <v>0</v>
      </c>
      <c r="L407" s="6">
        <f>'Invoice Data'!$B407+'Invoice Data'!$D407-'Invoice Data'!$G407-'Invoice Data'!$K407+'Invoice Data'!$H407</f>
        <v>4988</v>
      </c>
      <c r="M407" s="6" t="e">
        <f>VLOOKUP('Invoice Data'!$A407,BPay!$B$4:$D$10,3,0)</f>
        <v>#N/A</v>
      </c>
      <c r="N407" s="8"/>
    </row>
    <row r="408" spans="1:14" x14ac:dyDescent="0.3">
      <c r="A408" s="12">
        <v>34424</v>
      </c>
      <c r="B408" s="6">
        <v>0</v>
      </c>
      <c r="C408" s="7"/>
      <c r="D408" s="6">
        <v>7274</v>
      </c>
      <c r="E408" s="7">
        <v>2</v>
      </c>
      <c r="F408" s="7" t="str">
        <f t="shared" si="24"/>
        <v>Y</v>
      </c>
      <c r="G408" s="6">
        <f t="shared" si="25"/>
        <v>363.70000000000005</v>
      </c>
      <c r="H408" s="6">
        <f t="shared" si="26"/>
        <v>0</v>
      </c>
      <c r="I408" s="7">
        <v>2</v>
      </c>
      <c r="J408" s="7"/>
      <c r="K408" s="6">
        <f t="shared" si="27"/>
        <v>0</v>
      </c>
      <c r="L408" s="6">
        <f>'Invoice Data'!$B408+'Invoice Data'!$D408-'Invoice Data'!$G408-'Invoice Data'!$K408+'Invoice Data'!$H408</f>
        <v>6910.3</v>
      </c>
      <c r="M408" s="6" t="e">
        <f>VLOOKUP('Invoice Data'!$A408,BPay!$B$4:$D$10,3,0)</f>
        <v>#N/A</v>
      </c>
      <c r="N408" s="8"/>
    </row>
    <row r="409" spans="1:14" x14ac:dyDescent="0.3">
      <c r="A409" s="12">
        <v>34433</v>
      </c>
      <c r="B409" s="6">
        <v>0</v>
      </c>
      <c r="C409" s="7"/>
      <c r="D409" s="6">
        <v>4694</v>
      </c>
      <c r="E409" s="7">
        <v>1</v>
      </c>
      <c r="F409" s="7" t="str">
        <f t="shared" si="24"/>
        <v/>
      </c>
      <c r="G409" s="6">
        <f t="shared" si="25"/>
        <v>0</v>
      </c>
      <c r="H409" s="6">
        <f t="shared" si="26"/>
        <v>0</v>
      </c>
      <c r="I409" s="7">
        <v>12</v>
      </c>
      <c r="J409" s="7"/>
      <c r="K409" s="6">
        <f t="shared" si="27"/>
        <v>0</v>
      </c>
      <c r="L409" s="6">
        <f>'Invoice Data'!$B409+'Invoice Data'!$D409-'Invoice Data'!$G409-'Invoice Data'!$K409+'Invoice Data'!$H409</f>
        <v>4694</v>
      </c>
      <c r="M409" s="6" t="e">
        <f>VLOOKUP('Invoice Data'!$A409,BPay!$B$4:$D$10,3,0)</f>
        <v>#N/A</v>
      </c>
      <c r="N409" s="8"/>
    </row>
    <row r="410" spans="1:14" x14ac:dyDescent="0.3">
      <c r="A410" s="12">
        <v>34442</v>
      </c>
      <c r="B410" s="6">
        <v>0</v>
      </c>
      <c r="C410" s="7"/>
      <c r="D410" s="6">
        <v>7329</v>
      </c>
      <c r="E410" s="7">
        <v>2</v>
      </c>
      <c r="F410" s="7" t="str">
        <f t="shared" si="24"/>
        <v>Y</v>
      </c>
      <c r="G410" s="6">
        <f t="shared" si="25"/>
        <v>366.45000000000005</v>
      </c>
      <c r="H410" s="6">
        <f t="shared" si="26"/>
        <v>0</v>
      </c>
      <c r="I410" s="7">
        <v>12</v>
      </c>
      <c r="J410" s="7"/>
      <c r="K410" s="6">
        <f t="shared" si="27"/>
        <v>0</v>
      </c>
      <c r="L410" s="6">
        <f>'Invoice Data'!$B410+'Invoice Data'!$D410-'Invoice Data'!$G410-'Invoice Data'!$K410+'Invoice Data'!$H410</f>
        <v>6962.55</v>
      </c>
      <c r="M410" s="6" t="e">
        <f>VLOOKUP('Invoice Data'!$A410,BPay!$B$4:$D$10,3,0)</f>
        <v>#N/A</v>
      </c>
      <c r="N410" s="8"/>
    </row>
    <row r="411" spans="1:14" x14ac:dyDescent="0.3">
      <c r="A411" s="12">
        <v>34451</v>
      </c>
      <c r="B411" s="6">
        <v>0</v>
      </c>
      <c r="C411" s="7"/>
      <c r="D411" s="6">
        <v>8234</v>
      </c>
      <c r="E411" s="7">
        <v>2</v>
      </c>
      <c r="F411" s="7" t="str">
        <f t="shared" si="24"/>
        <v>Y</v>
      </c>
      <c r="G411" s="6">
        <f t="shared" si="25"/>
        <v>411.70000000000005</v>
      </c>
      <c r="H411" s="6">
        <f t="shared" si="26"/>
        <v>0</v>
      </c>
      <c r="I411" s="7">
        <v>9</v>
      </c>
      <c r="J411" s="7"/>
      <c r="K411" s="6">
        <f t="shared" si="27"/>
        <v>0</v>
      </c>
      <c r="L411" s="6">
        <f>'Invoice Data'!$B411+'Invoice Data'!$D411-'Invoice Data'!$G411-'Invoice Data'!$K411+'Invoice Data'!$H411</f>
        <v>7822.3</v>
      </c>
      <c r="M411" s="6" t="e">
        <f>VLOOKUP('Invoice Data'!$A411,BPay!$B$4:$D$10,3,0)</f>
        <v>#N/A</v>
      </c>
      <c r="N411" s="8"/>
    </row>
    <row r="412" spans="1:14" x14ac:dyDescent="0.3">
      <c r="A412" s="12">
        <v>34460</v>
      </c>
      <c r="B412" s="6">
        <v>0</v>
      </c>
      <c r="C412" s="7"/>
      <c r="D412" s="6">
        <v>4396</v>
      </c>
      <c r="E412" s="7">
        <v>1</v>
      </c>
      <c r="F412" s="7" t="str">
        <f t="shared" si="24"/>
        <v/>
      </c>
      <c r="G412" s="6">
        <f t="shared" si="25"/>
        <v>0</v>
      </c>
      <c r="H412" s="6">
        <f t="shared" si="26"/>
        <v>0</v>
      </c>
      <c r="I412" s="7">
        <v>0</v>
      </c>
      <c r="J412" s="7"/>
      <c r="K412" s="6">
        <f t="shared" si="27"/>
        <v>0</v>
      </c>
      <c r="L412" s="6">
        <f>'Invoice Data'!$B412+'Invoice Data'!$D412-'Invoice Data'!$G412-'Invoice Data'!$K412+'Invoice Data'!$H412</f>
        <v>4396</v>
      </c>
      <c r="M412" s="6" t="e">
        <f>VLOOKUP('Invoice Data'!$A412,BPay!$B$4:$D$10,3,0)</f>
        <v>#N/A</v>
      </c>
      <c r="N412" s="8"/>
    </row>
    <row r="413" spans="1:14" x14ac:dyDescent="0.3">
      <c r="A413" s="12">
        <v>34479</v>
      </c>
      <c r="B413" s="6">
        <v>0</v>
      </c>
      <c r="C413" s="7"/>
      <c r="D413" s="6">
        <v>4749</v>
      </c>
      <c r="E413" s="7">
        <v>1</v>
      </c>
      <c r="F413" s="7" t="str">
        <f t="shared" si="24"/>
        <v/>
      </c>
      <c r="G413" s="6">
        <f t="shared" si="25"/>
        <v>0</v>
      </c>
      <c r="H413" s="6">
        <f t="shared" si="26"/>
        <v>0</v>
      </c>
      <c r="I413" s="7">
        <v>9</v>
      </c>
      <c r="J413" s="7"/>
      <c r="K413" s="6">
        <f t="shared" si="27"/>
        <v>0</v>
      </c>
      <c r="L413" s="6">
        <f>'Invoice Data'!$B413+'Invoice Data'!$D413-'Invoice Data'!$G413-'Invoice Data'!$K413+'Invoice Data'!$H413</f>
        <v>4749</v>
      </c>
      <c r="M413" s="6" t="e">
        <f>VLOOKUP('Invoice Data'!$A413,BPay!$B$4:$D$10,3,0)</f>
        <v>#N/A</v>
      </c>
      <c r="N413" s="8"/>
    </row>
    <row r="414" spans="1:14" x14ac:dyDescent="0.3">
      <c r="A414" s="12">
        <v>34488</v>
      </c>
      <c r="B414" s="6">
        <v>0</v>
      </c>
      <c r="C414" s="7"/>
      <c r="D414" s="6">
        <v>4056</v>
      </c>
      <c r="E414" s="7">
        <v>1</v>
      </c>
      <c r="F414" s="7" t="str">
        <f t="shared" si="24"/>
        <v/>
      </c>
      <c r="G414" s="6">
        <f t="shared" si="25"/>
        <v>0</v>
      </c>
      <c r="H414" s="6">
        <f t="shared" si="26"/>
        <v>0</v>
      </c>
      <c r="I414" s="7">
        <v>8</v>
      </c>
      <c r="J414" s="7"/>
      <c r="K414" s="6">
        <f t="shared" si="27"/>
        <v>0</v>
      </c>
      <c r="L414" s="6">
        <f>'Invoice Data'!$B414+'Invoice Data'!$D414-'Invoice Data'!$G414-'Invoice Data'!$K414+'Invoice Data'!$H414</f>
        <v>4056</v>
      </c>
      <c r="M414" s="6" t="e">
        <f>VLOOKUP('Invoice Data'!$A414,BPay!$B$4:$D$10,3,0)</f>
        <v>#N/A</v>
      </c>
      <c r="N414" s="8"/>
    </row>
    <row r="415" spans="1:14" x14ac:dyDescent="0.3">
      <c r="A415" s="12">
        <v>34497</v>
      </c>
      <c r="B415" s="6">
        <v>0</v>
      </c>
      <c r="C415" s="7"/>
      <c r="D415" s="6">
        <v>4704</v>
      </c>
      <c r="E415" s="7">
        <v>1</v>
      </c>
      <c r="F415" s="7" t="str">
        <f t="shared" si="24"/>
        <v/>
      </c>
      <c r="G415" s="6">
        <f t="shared" si="25"/>
        <v>0</v>
      </c>
      <c r="H415" s="6">
        <f t="shared" si="26"/>
        <v>0</v>
      </c>
      <c r="I415" s="7">
        <v>13</v>
      </c>
      <c r="J415" s="7"/>
      <c r="K415" s="6">
        <f t="shared" si="27"/>
        <v>0</v>
      </c>
      <c r="L415" s="6">
        <f>'Invoice Data'!$B415+'Invoice Data'!$D415-'Invoice Data'!$G415-'Invoice Data'!$K415+'Invoice Data'!$H415</f>
        <v>4704</v>
      </c>
      <c r="M415" s="6" t="e">
        <f>VLOOKUP('Invoice Data'!$A415,BPay!$B$4:$D$10,3,0)</f>
        <v>#N/A</v>
      </c>
      <c r="N415" s="8"/>
    </row>
    <row r="416" spans="1:14" x14ac:dyDescent="0.3">
      <c r="A416" s="12">
        <v>34503</v>
      </c>
      <c r="B416" s="6">
        <v>0</v>
      </c>
      <c r="C416" s="7"/>
      <c r="D416" s="6">
        <v>5254</v>
      </c>
      <c r="E416" s="7">
        <v>1</v>
      </c>
      <c r="F416" s="7" t="str">
        <f t="shared" si="24"/>
        <v/>
      </c>
      <c r="G416" s="6">
        <f t="shared" si="25"/>
        <v>0</v>
      </c>
      <c r="H416" s="6">
        <f t="shared" si="26"/>
        <v>0</v>
      </c>
      <c r="I416" s="7">
        <v>11</v>
      </c>
      <c r="J416" s="7"/>
      <c r="K416" s="6">
        <f t="shared" si="27"/>
        <v>0</v>
      </c>
      <c r="L416" s="6">
        <f>'Invoice Data'!$B416+'Invoice Data'!$D416-'Invoice Data'!$G416-'Invoice Data'!$K416+'Invoice Data'!$H416</f>
        <v>5254</v>
      </c>
      <c r="M416" s="6" t="e">
        <f>VLOOKUP('Invoice Data'!$A416,BPay!$B$4:$D$10,3,0)</f>
        <v>#N/A</v>
      </c>
      <c r="N416" s="8"/>
    </row>
    <row r="417" spans="1:14" x14ac:dyDescent="0.3">
      <c r="A417" s="12">
        <v>34512</v>
      </c>
      <c r="B417" s="6">
        <v>0</v>
      </c>
      <c r="C417" s="7"/>
      <c r="D417" s="6">
        <v>8648</v>
      </c>
      <c r="E417" s="7">
        <v>2</v>
      </c>
      <c r="F417" s="7" t="str">
        <f t="shared" si="24"/>
        <v>Y</v>
      </c>
      <c r="G417" s="6">
        <f t="shared" si="25"/>
        <v>432.40000000000003</v>
      </c>
      <c r="H417" s="6">
        <f t="shared" si="26"/>
        <v>0</v>
      </c>
      <c r="I417" s="7">
        <v>7</v>
      </c>
      <c r="J417" s="7"/>
      <c r="K417" s="6">
        <f t="shared" si="27"/>
        <v>0</v>
      </c>
      <c r="L417" s="6">
        <f>'Invoice Data'!$B417+'Invoice Data'!$D417-'Invoice Data'!$G417-'Invoice Data'!$K417+'Invoice Data'!$H417</f>
        <v>8215.6</v>
      </c>
      <c r="M417" s="6" t="e">
        <f>VLOOKUP('Invoice Data'!$A417,BPay!$B$4:$D$10,3,0)</f>
        <v>#N/A</v>
      </c>
      <c r="N417" s="8"/>
    </row>
    <row r="418" spans="1:14" x14ac:dyDescent="0.3">
      <c r="A418" s="12">
        <v>34521</v>
      </c>
      <c r="B418" s="6">
        <v>0</v>
      </c>
      <c r="C418" s="7"/>
      <c r="D418" s="6">
        <v>4779</v>
      </c>
      <c r="E418" s="7">
        <v>1</v>
      </c>
      <c r="F418" s="7" t="str">
        <f t="shared" si="24"/>
        <v/>
      </c>
      <c r="G418" s="6">
        <f t="shared" si="25"/>
        <v>0</v>
      </c>
      <c r="H418" s="6">
        <f t="shared" si="26"/>
        <v>0</v>
      </c>
      <c r="I418" s="7">
        <v>3</v>
      </c>
      <c r="J418" s="7"/>
      <c r="K418" s="6">
        <f t="shared" si="27"/>
        <v>0</v>
      </c>
      <c r="L418" s="6">
        <f>'Invoice Data'!$B418+'Invoice Data'!$D418-'Invoice Data'!$G418-'Invoice Data'!$K418+'Invoice Data'!$H418</f>
        <v>4779</v>
      </c>
      <c r="M418" s="6" t="e">
        <f>VLOOKUP('Invoice Data'!$A418,BPay!$B$4:$D$10,3,0)</f>
        <v>#N/A</v>
      </c>
      <c r="N418" s="8"/>
    </row>
    <row r="419" spans="1:14" x14ac:dyDescent="0.3">
      <c r="A419" s="12">
        <v>34530</v>
      </c>
      <c r="B419" s="6">
        <v>0</v>
      </c>
      <c r="C419" s="7"/>
      <c r="D419" s="6">
        <v>6514</v>
      </c>
      <c r="E419" s="7">
        <v>2</v>
      </c>
      <c r="F419" s="7" t="str">
        <f t="shared" si="24"/>
        <v>Y</v>
      </c>
      <c r="G419" s="6">
        <f t="shared" si="25"/>
        <v>325.70000000000005</v>
      </c>
      <c r="H419" s="6">
        <f t="shared" si="26"/>
        <v>0</v>
      </c>
      <c r="I419" s="7">
        <v>2</v>
      </c>
      <c r="J419" s="7"/>
      <c r="K419" s="6">
        <f t="shared" si="27"/>
        <v>0</v>
      </c>
      <c r="L419" s="6">
        <f>'Invoice Data'!$B419+'Invoice Data'!$D419-'Invoice Data'!$G419-'Invoice Data'!$K419+'Invoice Data'!$H419</f>
        <v>6188.3</v>
      </c>
      <c r="M419" s="6" t="e">
        <f>VLOOKUP('Invoice Data'!$A419,BPay!$B$4:$D$10,3,0)</f>
        <v>#N/A</v>
      </c>
      <c r="N419" s="8"/>
    </row>
    <row r="420" spans="1:14" x14ac:dyDescent="0.3">
      <c r="A420" s="12">
        <v>34549</v>
      </c>
      <c r="B420" s="6">
        <v>0</v>
      </c>
      <c r="C420" s="7"/>
      <c r="D420" s="6">
        <v>4752</v>
      </c>
      <c r="E420" s="7">
        <v>1</v>
      </c>
      <c r="F420" s="7" t="str">
        <f t="shared" si="24"/>
        <v/>
      </c>
      <c r="G420" s="6">
        <f t="shared" si="25"/>
        <v>0</v>
      </c>
      <c r="H420" s="6">
        <f t="shared" si="26"/>
        <v>0</v>
      </c>
      <c r="I420" s="7">
        <v>1</v>
      </c>
      <c r="J420" s="7"/>
      <c r="K420" s="6">
        <f t="shared" si="27"/>
        <v>0</v>
      </c>
      <c r="L420" s="6">
        <f>'Invoice Data'!$B420+'Invoice Data'!$D420-'Invoice Data'!$G420-'Invoice Data'!$K420+'Invoice Data'!$H420</f>
        <v>4752</v>
      </c>
      <c r="M420" s="6" t="e">
        <f>VLOOKUP('Invoice Data'!$A420,BPay!$B$4:$D$10,3,0)</f>
        <v>#N/A</v>
      </c>
      <c r="N420" s="8"/>
    </row>
    <row r="421" spans="1:14" x14ac:dyDescent="0.3">
      <c r="A421" s="12">
        <v>34558</v>
      </c>
      <c r="B421" s="6">
        <v>0</v>
      </c>
      <c r="C421" s="7"/>
      <c r="D421" s="6">
        <v>5190</v>
      </c>
      <c r="E421" s="7">
        <v>1</v>
      </c>
      <c r="F421" s="7" t="str">
        <f t="shared" si="24"/>
        <v/>
      </c>
      <c r="G421" s="6">
        <f t="shared" si="25"/>
        <v>0</v>
      </c>
      <c r="H421" s="6">
        <f t="shared" si="26"/>
        <v>0</v>
      </c>
      <c r="I421" s="7">
        <v>16</v>
      </c>
      <c r="J421" s="7"/>
      <c r="K421" s="6">
        <f t="shared" si="27"/>
        <v>250</v>
      </c>
      <c r="L421" s="6">
        <f>'Invoice Data'!$B421+'Invoice Data'!$D421-'Invoice Data'!$G421-'Invoice Data'!$K421+'Invoice Data'!$H421</f>
        <v>4940</v>
      </c>
      <c r="M421" s="6" t="e">
        <f>VLOOKUP('Invoice Data'!$A421,BPay!$B$4:$D$10,3,0)</f>
        <v>#N/A</v>
      </c>
      <c r="N421" s="8"/>
    </row>
    <row r="422" spans="1:14" x14ac:dyDescent="0.3">
      <c r="A422" s="12">
        <v>34567</v>
      </c>
      <c r="B422" s="6">
        <v>0</v>
      </c>
      <c r="C422" s="7"/>
      <c r="D422" s="6">
        <v>5181</v>
      </c>
      <c r="E422" s="7">
        <v>1</v>
      </c>
      <c r="F422" s="7" t="str">
        <f t="shared" si="24"/>
        <v/>
      </c>
      <c r="G422" s="6">
        <f t="shared" si="25"/>
        <v>0</v>
      </c>
      <c r="H422" s="6">
        <f t="shared" si="26"/>
        <v>0</v>
      </c>
      <c r="I422" s="7">
        <v>2</v>
      </c>
      <c r="J422" s="7"/>
      <c r="K422" s="6">
        <f t="shared" si="27"/>
        <v>0</v>
      </c>
      <c r="L422" s="6">
        <f>'Invoice Data'!$B422+'Invoice Data'!$D422-'Invoice Data'!$G422-'Invoice Data'!$K422+'Invoice Data'!$H422</f>
        <v>5181</v>
      </c>
      <c r="M422" s="6" t="e">
        <f>VLOOKUP('Invoice Data'!$A422,BPay!$B$4:$D$10,3,0)</f>
        <v>#N/A</v>
      </c>
      <c r="N422" s="8"/>
    </row>
    <row r="423" spans="1:14" x14ac:dyDescent="0.3">
      <c r="A423" s="12">
        <v>34576</v>
      </c>
      <c r="B423" s="6">
        <v>0</v>
      </c>
      <c r="C423" s="7"/>
      <c r="D423" s="6">
        <v>9620</v>
      </c>
      <c r="E423" s="7">
        <v>2</v>
      </c>
      <c r="F423" s="7" t="str">
        <f t="shared" si="24"/>
        <v>Y</v>
      </c>
      <c r="G423" s="6">
        <f t="shared" si="25"/>
        <v>481</v>
      </c>
      <c r="H423" s="6">
        <f t="shared" si="26"/>
        <v>0</v>
      </c>
      <c r="I423" s="7">
        <v>12</v>
      </c>
      <c r="J423" s="7"/>
      <c r="K423" s="6">
        <f t="shared" si="27"/>
        <v>0</v>
      </c>
      <c r="L423" s="6">
        <f>'Invoice Data'!$B423+'Invoice Data'!$D423-'Invoice Data'!$G423-'Invoice Data'!$K423+'Invoice Data'!$H423</f>
        <v>9139</v>
      </c>
      <c r="M423" s="6" t="e">
        <f>VLOOKUP('Invoice Data'!$A423,BPay!$B$4:$D$10,3,0)</f>
        <v>#N/A</v>
      </c>
      <c r="N423" s="8"/>
    </row>
    <row r="424" spans="1:14" x14ac:dyDescent="0.3">
      <c r="A424" s="12">
        <v>34585</v>
      </c>
      <c r="B424" s="6">
        <v>0</v>
      </c>
      <c r="C424" s="7"/>
      <c r="D424" s="6">
        <v>6503</v>
      </c>
      <c r="E424" s="7">
        <v>2</v>
      </c>
      <c r="F424" s="7" t="str">
        <f t="shared" si="24"/>
        <v>Y</v>
      </c>
      <c r="G424" s="6">
        <f t="shared" si="25"/>
        <v>325.15000000000003</v>
      </c>
      <c r="H424" s="6">
        <f t="shared" si="26"/>
        <v>0</v>
      </c>
      <c r="I424" s="7">
        <v>14</v>
      </c>
      <c r="J424" s="7"/>
      <c r="K424" s="6">
        <f t="shared" si="27"/>
        <v>0</v>
      </c>
      <c r="L424" s="6">
        <f>'Invoice Data'!$B424+'Invoice Data'!$D424-'Invoice Data'!$G424-'Invoice Data'!$K424+'Invoice Data'!$H424</f>
        <v>6177.85</v>
      </c>
      <c r="M424" s="6" t="e">
        <f>VLOOKUP('Invoice Data'!$A424,BPay!$B$4:$D$10,3,0)</f>
        <v>#N/A</v>
      </c>
      <c r="N424" s="8"/>
    </row>
    <row r="425" spans="1:14" x14ac:dyDescent="0.3">
      <c r="A425" s="12">
        <v>34594</v>
      </c>
      <c r="B425" s="6">
        <v>0</v>
      </c>
      <c r="C425" s="7"/>
      <c r="D425" s="6">
        <v>7454</v>
      </c>
      <c r="E425" s="7">
        <v>2</v>
      </c>
      <c r="F425" s="7" t="str">
        <f t="shared" si="24"/>
        <v>Y</v>
      </c>
      <c r="G425" s="6">
        <f t="shared" si="25"/>
        <v>372.70000000000005</v>
      </c>
      <c r="H425" s="6">
        <f t="shared" si="26"/>
        <v>0</v>
      </c>
      <c r="I425" s="7">
        <v>2</v>
      </c>
      <c r="J425" s="7"/>
      <c r="K425" s="6">
        <f t="shared" si="27"/>
        <v>0</v>
      </c>
      <c r="L425" s="6">
        <f>'Invoice Data'!$B425+'Invoice Data'!$D425-'Invoice Data'!$G425-'Invoice Data'!$K425+'Invoice Data'!$H425</f>
        <v>7081.3</v>
      </c>
      <c r="M425" s="6" t="e">
        <f>VLOOKUP('Invoice Data'!$A425,BPay!$B$4:$D$10,3,0)</f>
        <v>#N/A</v>
      </c>
      <c r="N425" s="8"/>
    </row>
    <row r="426" spans="1:14" x14ac:dyDescent="0.3">
      <c r="A426" s="12">
        <v>34601</v>
      </c>
      <c r="B426" s="6">
        <v>0</v>
      </c>
      <c r="C426" s="7"/>
      <c r="D426" s="6">
        <v>4499</v>
      </c>
      <c r="E426" s="7">
        <v>1</v>
      </c>
      <c r="F426" s="7" t="str">
        <f t="shared" si="24"/>
        <v/>
      </c>
      <c r="G426" s="6">
        <f t="shared" si="25"/>
        <v>0</v>
      </c>
      <c r="H426" s="6">
        <f t="shared" si="26"/>
        <v>0</v>
      </c>
      <c r="I426" s="7">
        <v>8</v>
      </c>
      <c r="J426" s="7"/>
      <c r="K426" s="6">
        <f t="shared" si="27"/>
        <v>0</v>
      </c>
      <c r="L426" s="6">
        <f>'Invoice Data'!$B426+'Invoice Data'!$D426-'Invoice Data'!$G426-'Invoice Data'!$K426+'Invoice Data'!$H426</f>
        <v>4499</v>
      </c>
      <c r="M426" s="6" t="e">
        <f>VLOOKUP('Invoice Data'!$A426,BPay!$B$4:$D$10,3,0)</f>
        <v>#N/A</v>
      </c>
      <c r="N426" s="8"/>
    </row>
    <row r="427" spans="1:14" x14ac:dyDescent="0.3">
      <c r="A427" s="12">
        <v>34610</v>
      </c>
      <c r="B427" s="6">
        <v>1860</v>
      </c>
      <c r="C427" s="7"/>
      <c r="D427" s="6">
        <v>3859</v>
      </c>
      <c r="E427" s="7">
        <v>1</v>
      </c>
      <c r="F427" s="7" t="str">
        <f t="shared" si="24"/>
        <v/>
      </c>
      <c r="G427" s="6">
        <f t="shared" si="25"/>
        <v>0</v>
      </c>
      <c r="H427" s="6">
        <f t="shared" si="26"/>
        <v>186</v>
      </c>
      <c r="I427" s="7">
        <v>10</v>
      </c>
      <c r="J427" s="7"/>
      <c r="K427" s="6">
        <f t="shared" si="27"/>
        <v>0</v>
      </c>
      <c r="L427" s="6">
        <f>'Invoice Data'!$B427+'Invoice Data'!$D427-'Invoice Data'!$G427-'Invoice Data'!$K427+'Invoice Data'!$H427</f>
        <v>5905</v>
      </c>
      <c r="M427" s="6" t="e">
        <f>VLOOKUP('Invoice Data'!$A427,BPay!$B$4:$D$10,3,0)</f>
        <v>#N/A</v>
      </c>
      <c r="N427" s="8"/>
    </row>
    <row r="428" spans="1:14" x14ac:dyDescent="0.3">
      <c r="A428" s="12">
        <v>34629</v>
      </c>
      <c r="B428" s="6">
        <v>0</v>
      </c>
      <c r="C428" s="7"/>
      <c r="D428" s="6">
        <v>5225</v>
      </c>
      <c r="E428" s="7">
        <v>1</v>
      </c>
      <c r="F428" s="7" t="str">
        <f t="shared" si="24"/>
        <v/>
      </c>
      <c r="G428" s="6">
        <f t="shared" si="25"/>
        <v>0</v>
      </c>
      <c r="H428" s="6">
        <f t="shared" si="26"/>
        <v>0</v>
      </c>
      <c r="I428" s="7">
        <v>8</v>
      </c>
      <c r="J428" s="7"/>
      <c r="K428" s="6">
        <f t="shared" si="27"/>
        <v>0</v>
      </c>
      <c r="L428" s="6">
        <f>'Invoice Data'!$B428+'Invoice Data'!$D428-'Invoice Data'!$G428-'Invoice Data'!$K428+'Invoice Data'!$H428</f>
        <v>5225</v>
      </c>
      <c r="M428" s="6" t="e">
        <f>VLOOKUP('Invoice Data'!$A428,BPay!$B$4:$D$10,3,0)</f>
        <v>#N/A</v>
      </c>
      <c r="N428" s="8"/>
    </row>
    <row r="429" spans="1:14" x14ac:dyDescent="0.3">
      <c r="A429" s="12">
        <v>34638</v>
      </c>
      <c r="B429" s="6">
        <v>0</v>
      </c>
      <c r="C429" s="7"/>
      <c r="D429" s="6">
        <v>3637</v>
      </c>
      <c r="E429" s="7">
        <v>1</v>
      </c>
      <c r="F429" s="7" t="str">
        <f t="shared" si="24"/>
        <v/>
      </c>
      <c r="G429" s="6">
        <f t="shared" si="25"/>
        <v>0</v>
      </c>
      <c r="H429" s="6">
        <f t="shared" si="26"/>
        <v>0</v>
      </c>
      <c r="I429" s="7">
        <v>16</v>
      </c>
      <c r="J429" s="7"/>
      <c r="K429" s="6">
        <f t="shared" si="27"/>
        <v>250</v>
      </c>
      <c r="L429" s="6">
        <f>'Invoice Data'!$B429+'Invoice Data'!$D429-'Invoice Data'!$G429-'Invoice Data'!$K429+'Invoice Data'!$H429</f>
        <v>3387</v>
      </c>
      <c r="M429" s="6" t="e">
        <f>VLOOKUP('Invoice Data'!$A429,BPay!$B$4:$D$10,3,0)</f>
        <v>#N/A</v>
      </c>
      <c r="N429" s="8"/>
    </row>
    <row r="430" spans="1:14" x14ac:dyDescent="0.3">
      <c r="A430" s="12">
        <v>34647</v>
      </c>
      <c r="B430" s="6">
        <v>0</v>
      </c>
      <c r="C430" s="7"/>
      <c r="D430" s="6">
        <v>8721</v>
      </c>
      <c r="E430" s="7">
        <v>2</v>
      </c>
      <c r="F430" s="7" t="str">
        <f t="shared" si="24"/>
        <v>Y</v>
      </c>
      <c r="G430" s="6">
        <f t="shared" si="25"/>
        <v>436.05</v>
      </c>
      <c r="H430" s="6">
        <f t="shared" si="26"/>
        <v>0</v>
      </c>
      <c r="I430" s="7">
        <v>13</v>
      </c>
      <c r="J430" s="7"/>
      <c r="K430" s="6">
        <f t="shared" si="27"/>
        <v>0</v>
      </c>
      <c r="L430" s="6">
        <f>'Invoice Data'!$B430+'Invoice Data'!$D430-'Invoice Data'!$G430-'Invoice Data'!$K430+'Invoice Data'!$H430</f>
        <v>8284.9500000000007</v>
      </c>
      <c r="M430" s="6" t="e">
        <f>VLOOKUP('Invoice Data'!$A430,BPay!$B$4:$D$10,3,0)</f>
        <v>#N/A</v>
      </c>
      <c r="N430" s="8"/>
    </row>
    <row r="431" spans="1:14" x14ac:dyDescent="0.3">
      <c r="A431" s="12">
        <v>34656</v>
      </c>
      <c r="B431" s="6">
        <v>0</v>
      </c>
      <c r="C431" s="7"/>
      <c r="D431" s="6">
        <v>4679</v>
      </c>
      <c r="E431" s="7">
        <v>1</v>
      </c>
      <c r="F431" s="7" t="str">
        <f t="shared" si="24"/>
        <v/>
      </c>
      <c r="G431" s="6">
        <f t="shared" si="25"/>
        <v>0</v>
      </c>
      <c r="H431" s="6">
        <f t="shared" si="26"/>
        <v>0</v>
      </c>
      <c r="I431" s="7">
        <v>5</v>
      </c>
      <c r="J431" s="7"/>
      <c r="K431" s="6">
        <f t="shared" si="27"/>
        <v>0</v>
      </c>
      <c r="L431" s="6">
        <f>'Invoice Data'!$B431+'Invoice Data'!$D431-'Invoice Data'!$G431-'Invoice Data'!$K431+'Invoice Data'!$H431</f>
        <v>4679</v>
      </c>
      <c r="M431" s="6" t="e">
        <f>VLOOKUP('Invoice Data'!$A431,BPay!$B$4:$D$10,3,0)</f>
        <v>#N/A</v>
      </c>
      <c r="N431" s="8"/>
    </row>
    <row r="432" spans="1:14" x14ac:dyDescent="0.3">
      <c r="A432" s="12">
        <v>34665</v>
      </c>
      <c r="B432" s="6">
        <v>0</v>
      </c>
      <c r="C432" s="7"/>
      <c r="D432" s="6">
        <v>9026</v>
      </c>
      <c r="E432" s="7">
        <v>2</v>
      </c>
      <c r="F432" s="7" t="str">
        <f t="shared" si="24"/>
        <v>Y</v>
      </c>
      <c r="G432" s="6">
        <f t="shared" si="25"/>
        <v>451.3</v>
      </c>
      <c r="H432" s="6">
        <f t="shared" si="26"/>
        <v>0</v>
      </c>
      <c r="I432" s="7">
        <v>5</v>
      </c>
      <c r="J432" s="7"/>
      <c r="K432" s="6">
        <f t="shared" si="27"/>
        <v>0</v>
      </c>
      <c r="L432" s="6">
        <f>'Invoice Data'!$B432+'Invoice Data'!$D432-'Invoice Data'!$G432-'Invoice Data'!$K432+'Invoice Data'!$H432</f>
        <v>8574.7000000000007</v>
      </c>
      <c r="M432" s="6" t="e">
        <f>VLOOKUP('Invoice Data'!$A432,BPay!$B$4:$D$10,3,0)</f>
        <v>#N/A</v>
      </c>
      <c r="N432" s="8"/>
    </row>
    <row r="433" spans="1:14" x14ac:dyDescent="0.3">
      <c r="A433" s="12">
        <v>34674</v>
      </c>
      <c r="B433" s="6">
        <v>0</v>
      </c>
      <c r="C433" s="7"/>
      <c r="D433" s="6">
        <v>4938</v>
      </c>
      <c r="E433" s="7">
        <v>1</v>
      </c>
      <c r="F433" s="7" t="str">
        <f t="shared" si="24"/>
        <v/>
      </c>
      <c r="G433" s="6">
        <f t="shared" si="25"/>
        <v>0</v>
      </c>
      <c r="H433" s="6">
        <f t="shared" si="26"/>
        <v>0</v>
      </c>
      <c r="I433" s="7">
        <v>5</v>
      </c>
      <c r="J433" s="7"/>
      <c r="K433" s="6">
        <f t="shared" si="27"/>
        <v>0</v>
      </c>
      <c r="L433" s="6">
        <f>'Invoice Data'!$B433+'Invoice Data'!$D433-'Invoice Data'!$G433-'Invoice Data'!$K433+'Invoice Data'!$H433</f>
        <v>4938</v>
      </c>
      <c r="M433" s="6" t="e">
        <f>VLOOKUP('Invoice Data'!$A433,BPay!$B$4:$D$10,3,0)</f>
        <v>#N/A</v>
      </c>
      <c r="N433" s="8"/>
    </row>
    <row r="434" spans="1:14" x14ac:dyDescent="0.3">
      <c r="A434" s="12">
        <v>34683</v>
      </c>
      <c r="B434" s="6">
        <v>0</v>
      </c>
      <c r="C434" s="7"/>
      <c r="D434" s="6">
        <v>4443</v>
      </c>
      <c r="E434" s="7">
        <v>1</v>
      </c>
      <c r="F434" s="7" t="str">
        <f t="shared" si="24"/>
        <v/>
      </c>
      <c r="G434" s="6">
        <f t="shared" si="25"/>
        <v>0</v>
      </c>
      <c r="H434" s="6">
        <f t="shared" si="26"/>
        <v>0</v>
      </c>
      <c r="I434" s="7">
        <v>12</v>
      </c>
      <c r="J434" s="7"/>
      <c r="K434" s="6">
        <f t="shared" si="27"/>
        <v>0</v>
      </c>
      <c r="L434" s="6">
        <f>'Invoice Data'!$B434+'Invoice Data'!$D434-'Invoice Data'!$G434-'Invoice Data'!$K434+'Invoice Data'!$H434</f>
        <v>4443</v>
      </c>
      <c r="M434" s="6" t="e">
        <f>VLOOKUP('Invoice Data'!$A434,BPay!$B$4:$D$10,3,0)</f>
        <v>#N/A</v>
      </c>
      <c r="N434" s="8"/>
    </row>
    <row r="435" spans="1:14" x14ac:dyDescent="0.3">
      <c r="A435" s="12">
        <v>34692</v>
      </c>
      <c r="B435" s="6">
        <v>0</v>
      </c>
      <c r="C435" s="7"/>
      <c r="D435" s="6">
        <v>5206</v>
      </c>
      <c r="E435" s="7">
        <v>1</v>
      </c>
      <c r="F435" s="7" t="str">
        <f t="shared" si="24"/>
        <v/>
      </c>
      <c r="G435" s="6">
        <f t="shared" si="25"/>
        <v>0</v>
      </c>
      <c r="H435" s="6">
        <f t="shared" si="26"/>
        <v>0</v>
      </c>
      <c r="I435" s="7">
        <v>13</v>
      </c>
      <c r="J435" s="7"/>
      <c r="K435" s="6">
        <f t="shared" si="27"/>
        <v>0</v>
      </c>
      <c r="L435" s="6">
        <f>'Invoice Data'!$B435+'Invoice Data'!$D435-'Invoice Data'!$G435-'Invoice Data'!$K435+'Invoice Data'!$H435</f>
        <v>5206</v>
      </c>
      <c r="M435" s="6" t="e">
        <f>VLOOKUP('Invoice Data'!$A435,BPay!$B$4:$D$10,3,0)</f>
        <v>#N/A</v>
      </c>
      <c r="N435" s="8"/>
    </row>
    <row r="436" spans="1:14" x14ac:dyDescent="0.3">
      <c r="A436" s="12">
        <v>34709</v>
      </c>
      <c r="B436" s="6">
        <v>0</v>
      </c>
      <c r="C436" s="7"/>
      <c r="D436" s="6">
        <v>8678</v>
      </c>
      <c r="E436" s="7">
        <v>2</v>
      </c>
      <c r="F436" s="7" t="str">
        <f t="shared" si="24"/>
        <v>Y</v>
      </c>
      <c r="G436" s="6">
        <f t="shared" si="25"/>
        <v>433.90000000000003</v>
      </c>
      <c r="H436" s="6">
        <f t="shared" si="26"/>
        <v>0</v>
      </c>
      <c r="I436" s="7">
        <v>10</v>
      </c>
      <c r="J436" s="7"/>
      <c r="K436" s="6">
        <f t="shared" si="27"/>
        <v>0</v>
      </c>
      <c r="L436" s="6">
        <f>'Invoice Data'!$B436+'Invoice Data'!$D436-'Invoice Data'!$G436-'Invoice Data'!$K436+'Invoice Data'!$H436</f>
        <v>8244.1</v>
      </c>
      <c r="M436" s="6" t="e">
        <f>VLOOKUP('Invoice Data'!$A436,BPay!$B$4:$D$10,3,0)</f>
        <v>#N/A</v>
      </c>
      <c r="N436" s="8"/>
    </row>
    <row r="437" spans="1:14" x14ac:dyDescent="0.3">
      <c r="A437" s="12">
        <v>34718</v>
      </c>
      <c r="B437" s="6">
        <v>0</v>
      </c>
      <c r="C437" s="7"/>
      <c r="D437" s="6">
        <v>5084</v>
      </c>
      <c r="E437" s="7">
        <v>1</v>
      </c>
      <c r="F437" s="7" t="str">
        <f t="shared" si="24"/>
        <v/>
      </c>
      <c r="G437" s="6">
        <f t="shared" si="25"/>
        <v>0</v>
      </c>
      <c r="H437" s="6">
        <f t="shared" si="26"/>
        <v>0</v>
      </c>
      <c r="I437" s="7">
        <v>15</v>
      </c>
      <c r="J437" s="7"/>
      <c r="K437" s="6">
        <f t="shared" si="27"/>
        <v>0</v>
      </c>
      <c r="L437" s="6">
        <f>'Invoice Data'!$B437+'Invoice Data'!$D437-'Invoice Data'!$G437-'Invoice Data'!$K437+'Invoice Data'!$H437</f>
        <v>5084</v>
      </c>
      <c r="M437" s="6" t="e">
        <f>VLOOKUP('Invoice Data'!$A437,BPay!$B$4:$D$10,3,0)</f>
        <v>#N/A</v>
      </c>
      <c r="N437" s="8"/>
    </row>
    <row r="438" spans="1:14" x14ac:dyDescent="0.3">
      <c r="A438" s="12">
        <v>34727</v>
      </c>
      <c r="B438" s="6">
        <v>0</v>
      </c>
      <c r="C438" s="7"/>
      <c r="D438" s="6">
        <v>7677</v>
      </c>
      <c r="E438" s="7">
        <v>2</v>
      </c>
      <c r="F438" s="7" t="str">
        <f t="shared" si="24"/>
        <v>Y</v>
      </c>
      <c r="G438" s="6">
        <f t="shared" si="25"/>
        <v>383.85</v>
      </c>
      <c r="H438" s="6">
        <f t="shared" si="26"/>
        <v>0</v>
      </c>
      <c r="I438" s="7">
        <v>10</v>
      </c>
      <c r="J438" s="7"/>
      <c r="K438" s="6">
        <f t="shared" si="27"/>
        <v>0</v>
      </c>
      <c r="L438" s="6">
        <f>'Invoice Data'!$B438+'Invoice Data'!$D438-'Invoice Data'!$G438-'Invoice Data'!$K438+'Invoice Data'!$H438</f>
        <v>7293.15</v>
      </c>
      <c r="M438" s="6" t="e">
        <f>VLOOKUP('Invoice Data'!$A438,BPay!$B$4:$D$10,3,0)</f>
        <v>#N/A</v>
      </c>
      <c r="N438" s="8"/>
    </row>
    <row r="439" spans="1:14" x14ac:dyDescent="0.3">
      <c r="A439" s="12">
        <v>34736</v>
      </c>
      <c r="B439" s="6">
        <v>0</v>
      </c>
      <c r="C439" s="7"/>
      <c r="D439" s="6">
        <v>3361</v>
      </c>
      <c r="E439" s="7">
        <v>1</v>
      </c>
      <c r="F439" s="7" t="str">
        <f t="shared" si="24"/>
        <v/>
      </c>
      <c r="G439" s="6">
        <f t="shared" si="25"/>
        <v>0</v>
      </c>
      <c r="H439" s="6">
        <f t="shared" si="26"/>
        <v>0</v>
      </c>
      <c r="I439" s="7">
        <v>0</v>
      </c>
      <c r="J439" s="7" t="b">
        <v>1</v>
      </c>
      <c r="K439" s="6">
        <f t="shared" si="27"/>
        <v>250</v>
      </c>
      <c r="L439" s="6">
        <f>'Invoice Data'!$B439+'Invoice Data'!$D439-'Invoice Data'!$G439-'Invoice Data'!$K439+'Invoice Data'!$H439</f>
        <v>3111</v>
      </c>
      <c r="M439" s="6" t="e">
        <f>VLOOKUP('Invoice Data'!$A439,BPay!$B$4:$D$10,3,0)</f>
        <v>#N/A</v>
      </c>
      <c r="N439" s="8"/>
    </row>
    <row r="440" spans="1:14" x14ac:dyDescent="0.3">
      <c r="A440" s="12">
        <v>34745</v>
      </c>
      <c r="B440" s="6">
        <v>0</v>
      </c>
      <c r="C440" s="7"/>
      <c r="D440" s="6">
        <v>8692</v>
      </c>
      <c r="E440" s="7">
        <v>2</v>
      </c>
      <c r="F440" s="7" t="str">
        <f t="shared" si="24"/>
        <v>Y</v>
      </c>
      <c r="G440" s="6">
        <f t="shared" si="25"/>
        <v>434.6</v>
      </c>
      <c r="H440" s="6">
        <f t="shared" si="26"/>
        <v>0</v>
      </c>
      <c r="I440" s="7">
        <v>1</v>
      </c>
      <c r="J440" s="7"/>
      <c r="K440" s="6">
        <f t="shared" si="27"/>
        <v>0</v>
      </c>
      <c r="L440" s="6">
        <f>'Invoice Data'!$B440+'Invoice Data'!$D440-'Invoice Data'!$G440-'Invoice Data'!$K440+'Invoice Data'!$H440</f>
        <v>8257.4</v>
      </c>
      <c r="M440" s="6" t="e">
        <f>VLOOKUP('Invoice Data'!$A440,BPay!$B$4:$D$10,3,0)</f>
        <v>#N/A</v>
      </c>
      <c r="N440" s="8"/>
    </row>
    <row r="441" spans="1:14" x14ac:dyDescent="0.3">
      <c r="A441" s="12">
        <v>34754</v>
      </c>
      <c r="B441" s="6">
        <v>0</v>
      </c>
      <c r="C441" s="7"/>
      <c r="D441" s="6">
        <v>3790</v>
      </c>
      <c r="E441" s="7">
        <v>1</v>
      </c>
      <c r="F441" s="7" t="str">
        <f t="shared" si="24"/>
        <v/>
      </c>
      <c r="G441" s="6">
        <f t="shared" si="25"/>
        <v>0</v>
      </c>
      <c r="H441" s="6">
        <f t="shared" si="26"/>
        <v>0</v>
      </c>
      <c r="I441" s="7">
        <v>9</v>
      </c>
      <c r="J441" s="7"/>
      <c r="K441" s="6">
        <f t="shared" si="27"/>
        <v>0</v>
      </c>
      <c r="L441" s="6">
        <f>'Invoice Data'!$B441+'Invoice Data'!$D441-'Invoice Data'!$G441-'Invoice Data'!$K441+'Invoice Data'!$H441</f>
        <v>3790</v>
      </c>
      <c r="M441" s="6" t="e">
        <f>VLOOKUP('Invoice Data'!$A441,BPay!$B$4:$D$10,3,0)</f>
        <v>#N/A</v>
      </c>
      <c r="N441" s="8"/>
    </row>
    <row r="442" spans="1:14" x14ac:dyDescent="0.3">
      <c r="A442" s="12">
        <v>34763</v>
      </c>
      <c r="B442" s="6">
        <v>0</v>
      </c>
      <c r="C442" s="7"/>
      <c r="D442" s="6">
        <v>6390</v>
      </c>
      <c r="E442" s="7">
        <v>2</v>
      </c>
      <c r="F442" s="7" t="str">
        <f t="shared" si="24"/>
        <v>Y</v>
      </c>
      <c r="G442" s="6">
        <f t="shared" si="25"/>
        <v>319.5</v>
      </c>
      <c r="H442" s="6">
        <f t="shared" si="26"/>
        <v>0</v>
      </c>
      <c r="I442" s="7">
        <v>14</v>
      </c>
      <c r="J442" s="7"/>
      <c r="K442" s="6">
        <f t="shared" si="27"/>
        <v>0</v>
      </c>
      <c r="L442" s="6">
        <f>'Invoice Data'!$B442+'Invoice Data'!$D442-'Invoice Data'!$G442-'Invoice Data'!$K442+'Invoice Data'!$H442</f>
        <v>6070.5</v>
      </c>
      <c r="M442" s="6" t="e">
        <f>VLOOKUP('Invoice Data'!$A442,BPay!$B$4:$D$10,3,0)</f>
        <v>#N/A</v>
      </c>
      <c r="N442" s="8"/>
    </row>
    <row r="443" spans="1:14" x14ac:dyDescent="0.3">
      <c r="A443" s="12">
        <v>34772</v>
      </c>
      <c r="B443" s="6">
        <v>0</v>
      </c>
      <c r="C443" s="7"/>
      <c r="D443" s="6">
        <v>7384</v>
      </c>
      <c r="E443" s="7">
        <v>2</v>
      </c>
      <c r="F443" s="7" t="str">
        <f t="shared" si="24"/>
        <v>Y</v>
      </c>
      <c r="G443" s="6">
        <f t="shared" si="25"/>
        <v>369.20000000000005</v>
      </c>
      <c r="H443" s="6">
        <f t="shared" si="26"/>
        <v>0</v>
      </c>
      <c r="I443" s="7">
        <v>11</v>
      </c>
      <c r="J443" s="7"/>
      <c r="K443" s="6">
        <f t="shared" si="27"/>
        <v>0</v>
      </c>
      <c r="L443" s="6">
        <f>'Invoice Data'!$B443+'Invoice Data'!$D443-'Invoice Data'!$G443-'Invoice Data'!$K443+'Invoice Data'!$H443</f>
        <v>7014.8</v>
      </c>
      <c r="M443" s="6" t="e">
        <f>VLOOKUP('Invoice Data'!$A443,BPay!$B$4:$D$10,3,0)</f>
        <v>#N/A</v>
      </c>
      <c r="N443" s="8"/>
    </row>
    <row r="444" spans="1:14" x14ac:dyDescent="0.3">
      <c r="A444" s="12">
        <v>34781</v>
      </c>
      <c r="B444" s="6">
        <v>0</v>
      </c>
      <c r="C444" s="7"/>
      <c r="D444" s="6">
        <v>5027</v>
      </c>
      <c r="E444" s="7">
        <v>1</v>
      </c>
      <c r="F444" s="7" t="str">
        <f t="shared" si="24"/>
        <v/>
      </c>
      <c r="G444" s="6">
        <f t="shared" si="25"/>
        <v>0</v>
      </c>
      <c r="H444" s="6">
        <f t="shared" si="26"/>
        <v>0</v>
      </c>
      <c r="I444" s="7">
        <v>16</v>
      </c>
      <c r="J444" s="7"/>
      <c r="K444" s="6">
        <f t="shared" si="27"/>
        <v>250</v>
      </c>
      <c r="L444" s="6">
        <f>'Invoice Data'!$B444+'Invoice Data'!$D444-'Invoice Data'!$G444-'Invoice Data'!$K444+'Invoice Data'!$H444</f>
        <v>4777</v>
      </c>
      <c r="M444" s="6" t="e">
        <f>VLOOKUP('Invoice Data'!$A444,BPay!$B$4:$D$10,3,0)</f>
        <v>#N/A</v>
      </c>
      <c r="N444" s="8"/>
    </row>
    <row r="445" spans="1:14" x14ac:dyDescent="0.3">
      <c r="A445" s="12">
        <v>34790</v>
      </c>
      <c r="B445" s="6">
        <v>-301</v>
      </c>
      <c r="C445" s="7"/>
      <c r="D445" s="6">
        <v>9749</v>
      </c>
      <c r="E445" s="7">
        <v>2</v>
      </c>
      <c r="F445" s="7" t="str">
        <f t="shared" si="24"/>
        <v>Y</v>
      </c>
      <c r="G445" s="6">
        <f t="shared" si="25"/>
        <v>487.45000000000005</v>
      </c>
      <c r="H445" s="6">
        <f t="shared" si="26"/>
        <v>0</v>
      </c>
      <c r="I445" s="7">
        <v>0</v>
      </c>
      <c r="J445" s="7"/>
      <c r="K445" s="6">
        <f t="shared" si="27"/>
        <v>0</v>
      </c>
      <c r="L445" s="6">
        <f>'Invoice Data'!$B445+'Invoice Data'!$D445-'Invoice Data'!$G445-'Invoice Data'!$K445+'Invoice Data'!$H445</f>
        <v>8960.5499999999993</v>
      </c>
      <c r="M445" s="6" t="e">
        <f>VLOOKUP('Invoice Data'!$A445,BPay!$B$4:$D$10,3,0)</f>
        <v>#N/A</v>
      </c>
      <c r="N445" s="8"/>
    </row>
    <row r="446" spans="1:14" x14ac:dyDescent="0.3">
      <c r="A446" s="12">
        <v>34807</v>
      </c>
      <c r="B446" s="6">
        <v>0</v>
      </c>
      <c r="C446" s="7"/>
      <c r="D446" s="6">
        <v>3443</v>
      </c>
      <c r="E446" s="7">
        <v>1</v>
      </c>
      <c r="F446" s="7" t="str">
        <f t="shared" si="24"/>
        <v/>
      </c>
      <c r="G446" s="6">
        <f t="shared" si="25"/>
        <v>0</v>
      </c>
      <c r="H446" s="6">
        <f t="shared" si="26"/>
        <v>0</v>
      </c>
      <c r="I446" s="7">
        <v>6</v>
      </c>
      <c r="J446" s="7"/>
      <c r="K446" s="6">
        <f t="shared" si="27"/>
        <v>0</v>
      </c>
      <c r="L446" s="6">
        <f>'Invoice Data'!$B446+'Invoice Data'!$D446-'Invoice Data'!$G446-'Invoice Data'!$K446+'Invoice Data'!$H446</f>
        <v>3443</v>
      </c>
      <c r="M446" s="6" t="e">
        <f>VLOOKUP('Invoice Data'!$A446,BPay!$B$4:$D$10,3,0)</f>
        <v>#N/A</v>
      </c>
      <c r="N446" s="8"/>
    </row>
    <row r="447" spans="1:14" x14ac:dyDescent="0.3">
      <c r="A447" s="12">
        <v>34816</v>
      </c>
      <c r="B447" s="6">
        <v>0</v>
      </c>
      <c r="C447" s="7"/>
      <c r="D447" s="6">
        <v>4523</v>
      </c>
      <c r="E447" s="7">
        <v>1</v>
      </c>
      <c r="F447" s="7" t="str">
        <f t="shared" si="24"/>
        <v/>
      </c>
      <c r="G447" s="6">
        <f t="shared" si="25"/>
        <v>0</v>
      </c>
      <c r="H447" s="6">
        <f t="shared" si="26"/>
        <v>0</v>
      </c>
      <c r="I447" s="7">
        <v>1</v>
      </c>
      <c r="J447" s="7"/>
      <c r="K447" s="6">
        <f t="shared" si="27"/>
        <v>0</v>
      </c>
      <c r="L447" s="6">
        <f>'Invoice Data'!$B447+'Invoice Data'!$D447-'Invoice Data'!$G447-'Invoice Data'!$K447+'Invoice Data'!$H447</f>
        <v>4523</v>
      </c>
      <c r="M447" s="6" t="e">
        <f>VLOOKUP('Invoice Data'!$A447,BPay!$B$4:$D$10,3,0)</f>
        <v>#N/A</v>
      </c>
      <c r="N447" s="8"/>
    </row>
    <row r="448" spans="1:14" x14ac:dyDescent="0.3">
      <c r="A448" s="12">
        <v>34825</v>
      </c>
      <c r="B448" s="6">
        <v>0</v>
      </c>
      <c r="C448" s="7"/>
      <c r="D448" s="6">
        <v>9589</v>
      </c>
      <c r="E448" s="7">
        <v>2</v>
      </c>
      <c r="F448" s="7" t="str">
        <f t="shared" si="24"/>
        <v>Y</v>
      </c>
      <c r="G448" s="6">
        <f t="shared" si="25"/>
        <v>479.45000000000005</v>
      </c>
      <c r="H448" s="6">
        <f t="shared" si="26"/>
        <v>0</v>
      </c>
      <c r="I448" s="7">
        <v>8</v>
      </c>
      <c r="J448" s="7"/>
      <c r="K448" s="6">
        <f t="shared" si="27"/>
        <v>0</v>
      </c>
      <c r="L448" s="6">
        <f>'Invoice Data'!$B448+'Invoice Data'!$D448-'Invoice Data'!$G448-'Invoice Data'!$K448+'Invoice Data'!$H448</f>
        <v>9109.5499999999993</v>
      </c>
      <c r="M448" s="6" t="e">
        <f>VLOOKUP('Invoice Data'!$A448,BPay!$B$4:$D$10,3,0)</f>
        <v>#N/A</v>
      </c>
      <c r="N448" s="8"/>
    </row>
    <row r="449" spans="1:14" x14ac:dyDescent="0.3">
      <c r="A449" s="12">
        <v>34834</v>
      </c>
      <c r="B449" s="6">
        <v>0</v>
      </c>
      <c r="C449" s="7"/>
      <c r="D449" s="6">
        <v>5061</v>
      </c>
      <c r="E449" s="7">
        <v>1</v>
      </c>
      <c r="F449" s="7" t="str">
        <f t="shared" si="24"/>
        <v/>
      </c>
      <c r="G449" s="6">
        <f t="shared" si="25"/>
        <v>0</v>
      </c>
      <c r="H449" s="6">
        <f t="shared" si="26"/>
        <v>0</v>
      </c>
      <c r="I449" s="7">
        <v>0</v>
      </c>
      <c r="J449" s="7"/>
      <c r="K449" s="6">
        <f t="shared" si="27"/>
        <v>0</v>
      </c>
      <c r="L449" s="6">
        <f>'Invoice Data'!$B449+'Invoice Data'!$D449-'Invoice Data'!$G449-'Invoice Data'!$K449+'Invoice Data'!$H449</f>
        <v>5061</v>
      </c>
      <c r="M449" s="6" t="e">
        <f>VLOOKUP('Invoice Data'!$A449,BPay!$B$4:$D$10,3,0)</f>
        <v>#N/A</v>
      </c>
      <c r="N449" s="8"/>
    </row>
    <row r="450" spans="1:14" x14ac:dyDescent="0.3">
      <c r="A450" s="12">
        <v>34843</v>
      </c>
      <c r="B450" s="6">
        <v>0</v>
      </c>
      <c r="C450" s="7"/>
      <c r="D450" s="6">
        <v>4350</v>
      </c>
      <c r="E450" s="7">
        <v>1</v>
      </c>
      <c r="F450" s="7" t="str">
        <f t="shared" si="24"/>
        <v/>
      </c>
      <c r="G450" s="6">
        <f t="shared" si="25"/>
        <v>0</v>
      </c>
      <c r="H450" s="6">
        <f t="shared" si="26"/>
        <v>0</v>
      </c>
      <c r="I450" s="7">
        <v>8</v>
      </c>
      <c r="J450" s="7"/>
      <c r="K450" s="6">
        <f t="shared" si="27"/>
        <v>0</v>
      </c>
      <c r="L450" s="6">
        <f>'Invoice Data'!$B450+'Invoice Data'!$D450-'Invoice Data'!$G450-'Invoice Data'!$K450+'Invoice Data'!$H450</f>
        <v>4350</v>
      </c>
      <c r="M450" s="6" t="e">
        <f>VLOOKUP('Invoice Data'!$A450,BPay!$B$4:$D$10,3,0)</f>
        <v>#N/A</v>
      </c>
      <c r="N450" s="8"/>
    </row>
    <row r="451" spans="1:14" x14ac:dyDescent="0.3">
      <c r="A451" s="12">
        <v>34852</v>
      </c>
      <c r="B451" s="6">
        <v>0</v>
      </c>
      <c r="C451" s="7"/>
      <c r="D451" s="6">
        <v>4951</v>
      </c>
      <c r="E451" s="7">
        <v>1</v>
      </c>
      <c r="F451" s="7" t="str">
        <f t="shared" si="24"/>
        <v/>
      </c>
      <c r="G451" s="6">
        <f t="shared" si="25"/>
        <v>0</v>
      </c>
      <c r="H451" s="6">
        <f t="shared" si="26"/>
        <v>0</v>
      </c>
      <c r="I451" s="7">
        <v>2</v>
      </c>
      <c r="J451" s="7"/>
      <c r="K451" s="6">
        <f t="shared" si="27"/>
        <v>0</v>
      </c>
      <c r="L451" s="6">
        <f>'Invoice Data'!$B451+'Invoice Data'!$D451-'Invoice Data'!$G451-'Invoice Data'!$K451+'Invoice Data'!$H451</f>
        <v>4951</v>
      </c>
      <c r="M451" s="6" t="e">
        <f>VLOOKUP('Invoice Data'!$A451,BPay!$B$4:$D$10,3,0)</f>
        <v>#N/A</v>
      </c>
      <c r="N451" s="8"/>
    </row>
    <row r="452" spans="1:14" x14ac:dyDescent="0.3">
      <c r="A452" s="12">
        <v>34861</v>
      </c>
      <c r="B452" s="6">
        <v>0</v>
      </c>
      <c r="C452" s="7"/>
      <c r="D452" s="6">
        <v>7495</v>
      </c>
      <c r="E452" s="7">
        <v>2</v>
      </c>
      <c r="F452" s="7" t="str">
        <f t="shared" si="24"/>
        <v>Y</v>
      </c>
      <c r="G452" s="6">
        <f t="shared" si="25"/>
        <v>374.75</v>
      </c>
      <c r="H452" s="6">
        <f t="shared" si="26"/>
        <v>0</v>
      </c>
      <c r="I452" s="7">
        <v>9</v>
      </c>
      <c r="J452" s="7"/>
      <c r="K452" s="6">
        <f t="shared" si="27"/>
        <v>0</v>
      </c>
      <c r="L452" s="6">
        <f>'Invoice Data'!$B452+'Invoice Data'!$D452-'Invoice Data'!$G452-'Invoice Data'!$K452+'Invoice Data'!$H452</f>
        <v>7120.25</v>
      </c>
      <c r="M452" s="6" t="e">
        <f>VLOOKUP('Invoice Data'!$A452,BPay!$B$4:$D$10,3,0)</f>
        <v>#N/A</v>
      </c>
      <c r="N452" s="8"/>
    </row>
    <row r="453" spans="1:14" x14ac:dyDescent="0.3">
      <c r="A453" s="12">
        <v>34870</v>
      </c>
      <c r="B453" s="6">
        <v>0</v>
      </c>
      <c r="C453" s="7"/>
      <c r="D453" s="6">
        <v>8167</v>
      </c>
      <c r="E453" s="7">
        <v>2</v>
      </c>
      <c r="F453" s="7" t="str">
        <f t="shared" si="24"/>
        <v>Y</v>
      </c>
      <c r="G453" s="6">
        <f t="shared" si="25"/>
        <v>408.35</v>
      </c>
      <c r="H453" s="6">
        <f t="shared" si="26"/>
        <v>0</v>
      </c>
      <c r="I453" s="7">
        <v>1</v>
      </c>
      <c r="J453" s="7"/>
      <c r="K453" s="6">
        <f t="shared" si="27"/>
        <v>0</v>
      </c>
      <c r="L453" s="6">
        <f>'Invoice Data'!$B453+'Invoice Data'!$D453-'Invoice Data'!$G453-'Invoice Data'!$K453+'Invoice Data'!$H453</f>
        <v>7758.65</v>
      </c>
      <c r="M453" s="6" t="e">
        <f>VLOOKUP('Invoice Data'!$A453,BPay!$B$4:$D$10,3,0)</f>
        <v>#N/A</v>
      </c>
      <c r="N453" s="8"/>
    </row>
    <row r="454" spans="1:14" x14ac:dyDescent="0.3">
      <c r="A454" s="12">
        <v>34889</v>
      </c>
      <c r="B454" s="6">
        <v>0</v>
      </c>
      <c r="C454" s="7"/>
      <c r="D454" s="6">
        <v>9440</v>
      </c>
      <c r="E454" s="7">
        <v>2</v>
      </c>
      <c r="F454" s="7" t="str">
        <f t="shared" si="24"/>
        <v>Y</v>
      </c>
      <c r="G454" s="6">
        <f t="shared" si="25"/>
        <v>472</v>
      </c>
      <c r="H454" s="6">
        <f t="shared" si="26"/>
        <v>0</v>
      </c>
      <c r="I454" s="7">
        <v>7</v>
      </c>
      <c r="J454" s="7"/>
      <c r="K454" s="6">
        <f t="shared" si="27"/>
        <v>0</v>
      </c>
      <c r="L454" s="6">
        <f>'Invoice Data'!$B454+'Invoice Data'!$D454-'Invoice Data'!$G454-'Invoice Data'!$K454+'Invoice Data'!$H454</f>
        <v>8968</v>
      </c>
      <c r="M454" s="6" t="e">
        <f>VLOOKUP('Invoice Data'!$A454,BPay!$B$4:$D$10,3,0)</f>
        <v>#N/A</v>
      </c>
      <c r="N454" s="8"/>
    </row>
    <row r="455" spans="1:14" x14ac:dyDescent="0.3">
      <c r="A455" s="12">
        <v>34898</v>
      </c>
      <c r="B455" s="6">
        <v>0</v>
      </c>
      <c r="C455" s="7"/>
      <c r="D455" s="6">
        <v>5140</v>
      </c>
      <c r="E455" s="7">
        <v>1</v>
      </c>
      <c r="F455" s="7" t="str">
        <f t="shared" si="24"/>
        <v/>
      </c>
      <c r="G455" s="6">
        <f t="shared" si="25"/>
        <v>0</v>
      </c>
      <c r="H455" s="6">
        <f t="shared" si="26"/>
        <v>0</v>
      </c>
      <c r="I455" s="7">
        <v>13</v>
      </c>
      <c r="J455" s="7"/>
      <c r="K455" s="6">
        <f t="shared" si="27"/>
        <v>0</v>
      </c>
      <c r="L455" s="6">
        <f>'Invoice Data'!$B455+'Invoice Data'!$D455-'Invoice Data'!$G455-'Invoice Data'!$K455+'Invoice Data'!$H455</f>
        <v>5140</v>
      </c>
      <c r="M455" s="6" t="e">
        <f>VLOOKUP('Invoice Data'!$A455,BPay!$B$4:$D$10,3,0)</f>
        <v>#N/A</v>
      </c>
      <c r="N455" s="8"/>
    </row>
    <row r="456" spans="1:14" x14ac:dyDescent="0.3">
      <c r="A456" s="12">
        <v>34905</v>
      </c>
      <c r="B456" s="6">
        <v>0</v>
      </c>
      <c r="C456" s="7"/>
      <c r="D456" s="6">
        <v>4146</v>
      </c>
      <c r="E456" s="7">
        <v>1</v>
      </c>
      <c r="F456" s="7" t="str">
        <f t="shared" si="24"/>
        <v/>
      </c>
      <c r="G456" s="6">
        <f t="shared" si="25"/>
        <v>0</v>
      </c>
      <c r="H456" s="6">
        <f t="shared" si="26"/>
        <v>0</v>
      </c>
      <c r="I456" s="7">
        <v>7</v>
      </c>
      <c r="J456" s="7"/>
      <c r="K456" s="6">
        <f t="shared" si="27"/>
        <v>0</v>
      </c>
      <c r="L456" s="6">
        <f>'Invoice Data'!$B456+'Invoice Data'!$D456-'Invoice Data'!$G456-'Invoice Data'!$K456+'Invoice Data'!$H456</f>
        <v>4146</v>
      </c>
      <c r="M456" s="6" t="e">
        <f>VLOOKUP('Invoice Data'!$A456,BPay!$B$4:$D$10,3,0)</f>
        <v>#N/A</v>
      </c>
      <c r="N456" s="8"/>
    </row>
    <row r="457" spans="1:14" x14ac:dyDescent="0.3">
      <c r="A457" s="12">
        <v>34914</v>
      </c>
      <c r="B457" s="6">
        <v>0</v>
      </c>
      <c r="C457" s="7"/>
      <c r="D457" s="6">
        <v>8550</v>
      </c>
      <c r="E457" s="7">
        <v>2</v>
      </c>
      <c r="F457" s="7" t="str">
        <f t="shared" ref="F457:F520" si="28">IF(E457&gt;=2,"Y", "")</f>
        <v>Y</v>
      </c>
      <c r="G457" s="6">
        <f t="shared" ref="G457:G520" si="29">IF(F457="y",D457*5%,0)</f>
        <v>427.5</v>
      </c>
      <c r="H457" s="6">
        <f t="shared" ref="H457:H520" si="30">IF(AND(B457&gt;0,C457&lt;&gt;"Y"),B457*10%,0)</f>
        <v>0</v>
      </c>
      <c r="I457" s="7">
        <v>8</v>
      </c>
      <c r="J457" s="7"/>
      <c r="K457" s="6">
        <f t="shared" ref="K457:K520" si="31">IF(OR(I457&gt;=16,J457),250,0)</f>
        <v>0</v>
      </c>
      <c r="L457" s="6">
        <f>'Invoice Data'!$B457+'Invoice Data'!$D457-'Invoice Data'!$G457-'Invoice Data'!$K457+'Invoice Data'!$H457</f>
        <v>8122.5</v>
      </c>
      <c r="M457" s="6" t="e">
        <f>VLOOKUP('Invoice Data'!$A457,BPay!$B$4:$D$10,3,0)</f>
        <v>#N/A</v>
      </c>
      <c r="N457" s="8"/>
    </row>
    <row r="458" spans="1:14" x14ac:dyDescent="0.3">
      <c r="A458" s="12">
        <v>34923</v>
      </c>
      <c r="B458" s="6">
        <v>0</v>
      </c>
      <c r="C458" s="7"/>
      <c r="D458" s="6">
        <v>8362</v>
      </c>
      <c r="E458" s="7">
        <v>2</v>
      </c>
      <c r="F458" s="7" t="str">
        <f t="shared" si="28"/>
        <v>Y</v>
      </c>
      <c r="G458" s="6">
        <f t="shared" si="29"/>
        <v>418.1</v>
      </c>
      <c r="H458" s="6">
        <f t="shared" si="30"/>
        <v>0</v>
      </c>
      <c r="I458" s="7">
        <v>6</v>
      </c>
      <c r="J458" s="7"/>
      <c r="K458" s="6">
        <f t="shared" si="31"/>
        <v>0</v>
      </c>
      <c r="L458" s="6">
        <f>'Invoice Data'!$B458+'Invoice Data'!$D458-'Invoice Data'!$G458-'Invoice Data'!$K458+'Invoice Data'!$H458</f>
        <v>7943.9</v>
      </c>
      <c r="M458" s="6" t="e">
        <f>VLOOKUP('Invoice Data'!$A458,BPay!$B$4:$D$10,3,0)</f>
        <v>#N/A</v>
      </c>
      <c r="N458" s="8"/>
    </row>
    <row r="459" spans="1:14" x14ac:dyDescent="0.3">
      <c r="A459" s="12">
        <v>34932</v>
      </c>
      <c r="B459" s="6">
        <v>0</v>
      </c>
      <c r="C459" s="7"/>
      <c r="D459" s="6">
        <v>4842</v>
      </c>
      <c r="E459" s="7">
        <v>1</v>
      </c>
      <c r="F459" s="7" t="str">
        <f t="shared" si="28"/>
        <v/>
      </c>
      <c r="G459" s="6">
        <f t="shared" si="29"/>
        <v>0</v>
      </c>
      <c r="H459" s="6">
        <f t="shared" si="30"/>
        <v>0</v>
      </c>
      <c r="I459" s="7">
        <v>4</v>
      </c>
      <c r="J459" s="7"/>
      <c r="K459" s="6">
        <f t="shared" si="31"/>
        <v>0</v>
      </c>
      <c r="L459" s="6">
        <f>'Invoice Data'!$B459+'Invoice Data'!$D459-'Invoice Data'!$G459-'Invoice Data'!$K459+'Invoice Data'!$H459</f>
        <v>4842</v>
      </c>
      <c r="M459" s="6" t="e">
        <f>VLOOKUP('Invoice Data'!$A459,BPay!$B$4:$D$10,3,0)</f>
        <v>#N/A</v>
      </c>
      <c r="N459" s="8"/>
    </row>
    <row r="460" spans="1:14" x14ac:dyDescent="0.3">
      <c r="A460" s="12">
        <v>34941</v>
      </c>
      <c r="B460" s="6">
        <v>0</v>
      </c>
      <c r="C460" s="7"/>
      <c r="D460" s="6">
        <v>4719</v>
      </c>
      <c r="E460" s="7">
        <v>1</v>
      </c>
      <c r="F460" s="7" t="str">
        <f t="shared" si="28"/>
        <v/>
      </c>
      <c r="G460" s="6">
        <f t="shared" si="29"/>
        <v>0</v>
      </c>
      <c r="H460" s="6">
        <f t="shared" si="30"/>
        <v>0</v>
      </c>
      <c r="I460" s="7">
        <v>9</v>
      </c>
      <c r="J460" s="7"/>
      <c r="K460" s="6">
        <f t="shared" si="31"/>
        <v>0</v>
      </c>
      <c r="L460" s="6">
        <f>'Invoice Data'!$B460+'Invoice Data'!$D460-'Invoice Data'!$G460-'Invoice Data'!$K460+'Invoice Data'!$H460</f>
        <v>4719</v>
      </c>
      <c r="M460" s="6" t="e">
        <f>VLOOKUP('Invoice Data'!$A460,BPay!$B$4:$D$10,3,0)</f>
        <v>#N/A</v>
      </c>
      <c r="N460" s="8"/>
    </row>
    <row r="461" spans="1:14" x14ac:dyDescent="0.3">
      <c r="A461" s="12">
        <v>34950</v>
      </c>
      <c r="B461" s="6">
        <v>0</v>
      </c>
      <c r="C461" s="7"/>
      <c r="D461" s="6">
        <v>4044</v>
      </c>
      <c r="E461" s="7">
        <v>1</v>
      </c>
      <c r="F461" s="7" t="str">
        <f t="shared" si="28"/>
        <v/>
      </c>
      <c r="G461" s="6">
        <f t="shared" si="29"/>
        <v>0</v>
      </c>
      <c r="H461" s="6">
        <f t="shared" si="30"/>
        <v>0</v>
      </c>
      <c r="I461" s="7">
        <v>9</v>
      </c>
      <c r="J461" s="7"/>
      <c r="K461" s="6">
        <f t="shared" si="31"/>
        <v>0</v>
      </c>
      <c r="L461" s="6">
        <f>'Invoice Data'!$B461+'Invoice Data'!$D461-'Invoice Data'!$G461-'Invoice Data'!$K461+'Invoice Data'!$H461</f>
        <v>4044</v>
      </c>
      <c r="M461" s="6" t="e">
        <f>VLOOKUP('Invoice Data'!$A461,BPay!$B$4:$D$10,3,0)</f>
        <v>#N/A</v>
      </c>
      <c r="N461" s="8"/>
    </row>
    <row r="462" spans="1:14" x14ac:dyDescent="0.3">
      <c r="A462" s="12">
        <v>34969</v>
      </c>
      <c r="B462" s="6">
        <v>0</v>
      </c>
      <c r="C462" s="7"/>
      <c r="D462" s="6">
        <v>4525</v>
      </c>
      <c r="E462" s="7">
        <v>1</v>
      </c>
      <c r="F462" s="7" t="str">
        <f t="shared" si="28"/>
        <v/>
      </c>
      <c r="G462" s="6">
        <f t="shared" si="29"/>
        <v>0</v>
      </c>
      <c r="H462" s="6">
        <f t="shared" si="30"/>
        <v>0</v>
      </c>
      <c r="I462" s="7">
        <v>15</v>
      </c>
      <c r="J462" s="7"/>
      <c r="K462" s="6">
        <f t="shared" si="31"/>
        <v>0</v>
      </c>
      <c r="L462" s="6">
        <f>'Invoice Data'!$B462+'Invoice Data'!$D462-'Invoice Data'!$G462-'Invoice Data'!$K462+'Invoice Data'!$H462</f>
        <v>4525</v>
      </c>
      <c r="M462" s="6" t="e">
        <f>VLOOKUP('Invoice Data'!$A462,BPay!$B$4:$D$10,3,0)</f>
        <v>#N/A</v>
      </c>
      <c r="N462" s="8"/>
    </row>
    <row r="463" spans="1:14" x14ac:dyDescent="0.3">
      <c r="A463" s="12">
        <v>34978</v>
      </c>
      <c r="B463" s="6">
        <v>0</v>
      </c>
      <c r="C463" s="7"/>
      <c r="D463" s="6">
        <v>8299</v>
      </c>
      <c r="E463" s="7">
        <v>2</v>
      </c>
      <c r="F463" s="7" t="str">
        <f t="shared" si="28"/>
        <v>Y</v>
      </c>
      <c r="G463" s="6">
        <f t="shared" si="29"/>
        <v>414.95000000000005</v>
      </c>
      <c r="H463" s="6">
        <f t="shared" si="30"/>
        <v>0</v>
      </c>
      <c r="I463" s="7">
        <v>10</v>
      </c>
      <c r="J463" s="7"/>
      <c r="K463" s="6">
        <f t="shared" si="31"/>
        <v>0</v>
      </c>
      <c r="L463" s="6">
        <f>'Invoice Data'!$B463+'Invoice Data'!$D463-'Invoice Data'!$G463-'Invoice Data'!$K463+'Invoice Data'!$H463</f>
        <v>7884.05</v>
      </c>
      <c r="M463" s="6" t="e">
        <f>VLOOKUP('Invoice Data'!$A463,BPay!$B$4:$D$10,3,0)</f>
        <v>#N/A</v>
      </c>
      <c r="N463" s="8"/>
    </row>
    <row r="464" spans="1:14" x14ac:dyDescent="0.3">
      <c r="A464" s="12">
        <v>34987</v>
      </c>
      <c r="B464" s="6">
        <v>0</v>
      </c>
      <c r="C464" s="7"/>
      <c r="D464" s="6">
        <v>9404</v>
      </c>
      <c r="E464" s="7">
        <v>2</v>
      </c>
      <c r="F464" s="7" t="str">
        <f t="shared" si="28"/>
        <v>Y</v>
      </c>
      <c r="G464" s="6">
        <f t="shared" si="29"/>
        <v>470.20000000000005</v>
      </c>
      <c r="H464" s="6">
        <f t="shared" si="30"/>
        <v>0</v>
      </c>
      <c r="I464" s="7">
        <v>15</v>
      </c>
      <c r="J464" s="7"/>
      <c r="K464" s="6">
        <f t="shared" si="31"/>
        <v>0</v>
      </c>
      <c r="L464" s="6">
        <f>'Invoice Data'!$B464+'Invoice Data'!$D464-'Invoice Data'!$G464-'Invoice Data'!$K464+'Invoice Data'!$H464</f>
        <v>8933.7999999999993</v>
      </c>
      <c r="M464" s="6" t="e">
        <f>VLOOKUP('Invoice Data'!$A464,BPay!$B$4:$D$10,3,0)</f>
        <v>#N/A</v>
      </c>
      <c r="N464" s="8"/>
    </row>
    <row r="465" spans="1:14" x14ac:dyDescent="0.3">
      <c r="A465" s="12">
        <v>34996</v>
      </c>
      <c r="B465" s="6">
        <v>0</v>
      </c>
      <c r="C465" s="7"/>
      <c r="D465" s="6">
        <v>5373</v>
      </c>
      <c r="E465" s="7">
        <v>1</v>
      </c>
      <c r="F465" s="7" t="str">
        <f t="shared" si="28"/>
        <v/>
      </c>
      <c r="G465" s="6">
        <f t="shared" si="29"/>
        <v>0</v>
      </c>
      <c r="H465" s="6">
        <f t="shared" si="30"/>
        <v>0</v>
      </c>
      <c r="I465" s="7">
        <v>2</v>
      </c>
      <c r="J465" s="7"/>
      <c r="K465" s="6">
        <f t="shared" si="31"/>
        <v>0</v>
      </c>
      <c r="L465" s="6">
        <f>'Invoice Data'!$B465+'Invoice Data'!$D465-'Invoice Data'!$G465-'Invoice Data'!$K465+'Invoice Data'!$H465</f>
        <v>5373</v>
      </c>
      <c r="M465" s="6" t="e">
        <f>VLOOKUP('Invoice Data'!$A465,BPay!$B$4:$D$10,3,0)</f>
        <v>#N/A</v>
      </c>
      <c r="N465" s="8"/>
    </row>
    <row r="466" spans="1:14" x14ac:dyDescent="0.3">
      <c r="A466" s="12">
        <v>35003</v>
      </c>
      <c r="B466" s="6">
        <v>0</v>
      </c>
      <c r="C466" s="7"/>
      <c r="D466" s="6">
        <v>3181</v>
      </c>
      <c r="E466" s="7">
        <v>1</v>
      </c>
      <c r="F466" s="7" t="str">
        <f t="shared" si="28"/>
        <v/>
      </c>
      <c r="G466" s="6">
        <f t="shared" si="29"/>
        <v>0</v>
      </c>
      <c r="H466" s="6">
        <f t="shared" si="30"/>
        <v>0</v>
      </c>
      <c r="I466" s="7">
        <v>4</v>
      </c>
      <c r="J466" s="7"/>
      <c r="K466" s="6">
        <f t="shared" si="31"/>
        <v>0</v>
      </c>
      <c r="L466" s="6">
        <f>'Invoice Data'!$B466+'Invoice Data'!$D466-'Invoice Data'!$G466-'Invoice Data'!$K466+'Invoice Data'!$H466</f>
        <v>3181</v>
      </c>
      <c r="M466" s="6" t="e">
        <f>VLOOKUP('Invoice Data'!$A466,BPay!$B$4:$D$10,3,0)</f>
        <v>#N/A</v>
      </c>
      <c r="N466" s="8"/>
    </row>
    <row r="467" spans="1:14" x14ac:dyDescent="0.3">
      <c r="A467" s="12">
        <v>35012</v>
      </c>
      <c r="B467" s="6">
        <v>0</v>
      </c>
      <c r="C467" s="7"/>
      <c r="D467" s="6">
        <v>6754</v>
      </c>
      <c r="E467" s="7">
        <v>2</v>
      </c>
      <c r="F467" s="7" t="str">
        <f t="shared" si="28"/>
        <v>Y</v>
      </c>
      <c r="G467" s="6">
        <f t="shared" si="29"/>
        <v>337.70000000000005</v>
      </c>
      <c r="H467" s="6">
        <f t="shared" si="30"/>
        <v>0</v>
      </c>
      <c r="I467" s="7">
        <v>5</v>
      </c>
      <c r="J467" s="7"/>
      <c r="K467" s="6">
        <f t="shared" si="31"/>
        <v>0</v>
      </c>
      <c r="L467" s="6">
        <f>'Invoice Data'!$B467+'Invoice Data'!$D467-'Invoice Data'!$G467-'Invoice Data'!$K467+'Invoice Data'!$H467</f>
        <v>6416.3</v>
      </c>
      <c r="M467" s="6" t="e">
        <f>VLOOKUP('Invoice Data'!$A467,BPay!$B$4:$D$10,3,0)</f>
        <v>#N/A</v>
      </c>
      <c r="N467" s="8"/>
    </row>
    <row r="468" spans="1:14" x14ac:dyDescent="0.3">
      <c r="A468" s="12">
        <v>35021</v>
      </c>
      <c r="B468" s="6">
        <v>0</v>
      </c>
      <c r="C468" s="7"/>
      <c r="D468" s="6">
        <v>4433</v>
      </c>
      <c r="E468" s="7">
        <v>1</v>
      </c>
      <c r="F468" s="7" t="str">
        <f t="shared" si="28"/>
        <v/>
      </c>
      <c r="G468" s="6">
        <f t="shared" si="29"/>
        <v>0</v>
      </c>
      <c r="H468" s="6">
        <f t="shared" si="30"/>
        <v>0</v>
      </c>
      <c r="I468" s="7">
        <v>7</v>
      </c>
      <c r="J468" s="7"/>
      <c r="K468" s="6">
        <f t="shared" si="31"/>
        <v>0</v>
      </c>
      <c r="L468" s="6">
        <f>'Invoice Data'!$B468+'Invoice Data'!$D468-'Invoice Data'!$G468-'Invoice Data'!$K468+'Invoice Data'!$H468</f>
        <v>4433</v>
      </c>
      <c r="M468" s="6" t="e">
        <f>VLOOKUP('Invoice Data'!$A468,BPay!$B$4:$D$10,3,0)</f>
        <v>#N/A</v>
      </c>
      <c r="N468" s="8"/>
    </row>
    <row r="469" spans="1:14" x14ac:dyDescent="0.3">
      <c r="A469" s="12">
        <v>35030</v>
      </c>
      <c r="B469" s="6">
        <v>0</v>
      </c>
      <c r="C469" s="7"/>
      <c r="D469" s="6">
        <v>4028</v>
      </c>
      <c r="E469" s="7">
        <v>1</v>
      </c>
      <c r="F469" s="7" t="str">
        <f t="shared" si="28"/>
        <v/>
      </c>
      <c r="G469" s="6">
        <f t="shared" si="29"/>
        <v>0</v>
      </c>
      <c r="H469" s="6">
        <f t="shared" si="30"/>
        <v>0</v>
      </c>
      <c r="I469" s="7">
        <v>13</v>
      </c>
      <c r="J469" s="7"/>
      <c r="K469" s="6">
        <f t="shared" si="31"/>
        <v>0</v>
      </c>
      <c r="L469" s="6">
        <f>'Invoice Data'!$B469+'Invoice Data'!$D469-'Invoice Data'!$G469-'Invoice Data'!$K469+'Invoice Data'!$H469</f>
        <v>4028</v>
      </c>
      <c r="M469" s="6" t="e">
        <f>VLOOKUP('Invoice Data'!$A469,BPay!$B$4:$D$10,3,0)</f>
        <v>#N/A</v>
      </c>
      <c r="N469" s="8"/>
    </row>
    <row r="470" spans="1:14" x14ac:dyDescent="0.3">
      <c r="A470" s="12">
        <v>35049</v>
      </c>
      <c r="B470" s="6">
        <v>0</v>
      </c>
      <c r="C470" s="7"/>
      <c r="D470" s="6">
        <v>4473</v>
      </c>
      <c r="E470" s="7">
        <v>1</v>
      </c>
      <c r="F470" s="7" t="str">
        <f t="shared" si="28"/>
        <v/>
      </c>
      <c r="G470" s="6">
        <f t="shared" si="29"/>
        <v>0</v>
      </c>
      <c r="H470" s="6">
        <f t="shared" si="30"/>
        <v>0</v>
      </c>
      <c r="I470" s="7">
        <v>8</v>
      </c>
      <c r="J470" s="7"/>
      <c r="K470" s="6">
        <f t="shared" si="31"/>
        <v>0</v>
      </c>
      <c r="L470" s="6">
        <f>'Invoice Data'!$B470+'Invoice Data'!$D470-'Invoice Data'!$G470-'Invoice Data'!$K470+'Invoice Data'!$H470</f>
        <v>4473</v>
      </c>
      <c r="M470" s="6" t="e">
        <f>VLOOKUP('Invoice Data'!$A470,BPay!$B$4:$D$10,3,0)</f>
        <v>#N/A</v>
      </c>
      <c r="N470" s="8"/>
    </row>
    <row r="471" spans="1:14" x14ac:dyDescent="0.3">
      <c r="A471" s="12">
        <v>35058</v>
      </c>
      <c r="B471" s="6">
        <v>0</v>
      </c>
      <c r="C471" s="7"/>
      <c r="D471" s="6">
        <v>4043</v>
      </c>
      <c r="E471" s="7">
        <v>1</v>
      </c>
      <c r="F471" s="7" t="str">
        <f t="shared" si="28"/>
        <v/>
      </c>
      <c r="G471" s="6">
        <f t="shared" si="29"/>
        <v>0</v>
      </c>
      <c r="H471" s="6">
        <f t="shared" si="30"/>
        <v>0</v>
      </c>
      <c r="I471" s="7">
        <v>12</v>
      </c>
      <c r="J471" s="7"/>
      <c r="K471" s="6">
        <f t="shared" si="31"/>
        <v>0</v>
      </c>
      <c r="L471" s="6">
        <f>'Invoice Data'!$B471+'Invoice Data'!$D471-'Invoice Data'!$G471-'Invoice Data'!$K471+'Invoice Data'!$H471</f>
        <v>4043</v>
      </c>
      <c r="M471" s="6" t="e">
        <f>VLOOKUP('Invoice Data'!$A471,BPay!$B$4:$D$10,3,0)</f>
        <v>#N/A</v>
      </c>
      <c r="N471" s="8"/>
    </row>
    <row r="472" spans="1:14" x14ac:dyDescent="0.3">
      <c r="A472" s="12">
        <v>35067</v>
      </c>
      <c r="B472" s="6">
        <v>0</v>
      </c>
      <c r="C472" s="7"/>
      <c r="D472" s="6">
        <v>9670</v>
      </c>
      <c r="E472" s="7">
        <v>2</v>
      </c>
      <c r="F472" s="7" t="str">
        <f t="shared" si="28"/>
        <v>Y</v>
      </c>
      <c r="G472" s="6">
        <f t="shared" si="29"/>
        <v>483.5</v>
      </c>
      <c r="H472" s="6">
        <f t="shared" si="30"/>
        <v>0</v>
      </c>
      <c r="I472" s="7">
        <v>7</v>
      </c>
      <c r="J472" s="7"/>
      <c r="K472" s="6">
        <f t="shared" si="31"/>
        <v>0</v>
      </c>
      <c r="L472" s="6">
        <f>'Invoice Data'!$B472+'Invoice Data'!$D472-'Invoice Data'!$G472-'Invoice Data'!$K472+'Invoice Data'!$H472</f>
        <v>9186.5</v>
      </c>
      <c r="M472" s="6" t="e">
        <f>VLOOKUP('Invoice Data'!$A472,BPay!$B$4:$D$10,3,0)</f>
        <v>#N/A</v>
      </c>
      <c r="N472" s="8"/>
    </row>
    <row r="473" spans="1:14" x14ac:dyDescent="0.3">
      <c r="A473" s="12">
        <v>35076</v>
      </c>
      <c r="B473" s="6">
        <v>0</v>
      </c>
      <c r="C473" s="7"/>
      <c r="D473" s="6">
        <v>4811</v>
      </c>
      <c r="E473" s="7">
        <v>1</v>
      </c>
      <c r="F473" s="7" t="str">
        <f t="shared" si="28"/>
        <v/>
      </c>
      <c r="G473" s="6">
        <f t="shared" si="29"/>
        <v>0</v>
      </c>
      <c r="H473" s="6">
        <f t="shared" si="30"/>
        <v>0</v>
      </c>
      <c r="I473" s="7">
        <v>6</v>
      </c>
      <c r="J473" s="7"/>
      <c r="K473" s="6">
        <f t="shared" si="31"/>
        <v>0</v>
      </c>
      <c r="L473" s="6">
        <f>'Invoice Data'!$B473+'Invoice Data'!$D473-'Invoice Data'!$G473-'Invoice Data'!$K473+'Invoice Data'!$H473</f>
        <v>4811</v>
      </c>
      <c r="M473" s="6" t="e">
        <f>VLOOKUP('Invoice Data'!$A473,BPay!$B$4:$D$10,3,0)</f>
        <v>#N/A</v>
      </c>
      <c r="N473" s="8"/>
    </row>
    <row r="474" spans="1:14" x14ac:dyDescent="0.3">
      <c r="A474" s="12">
        <v>35085</v>
      </c>
      <c r="B474" s="6">
        <v>0</v>
      </c>
      <c r="C474" s="7"/>
      <c r="D474" s="6">
        <v>4942</v>
      </c>
      <c r="E474" s="7">
        <v>1</v>
      </c>
      <c r="F474" s="7" t="str">
        <f t="shared" si="28"/>
        <v/>
      </c>
      <c r="G474" s="6">
        <f t="shared" si="29"/>
        <v>0</v>
      </c>
      <c r="H474" s="6">
        <f t="shared" si="30"/>
        <v>0</v>
      </c>
      <c r="I474" s="7">
        <v>9</v>
      </c>
      <c r="J474" s="7"/>
      <c r="K474" s="6">
        <f t="shared" si="31"/>
        <v>0</v>
      </c>
      <c r="L474" s="6">
        <f>'Invoice Data'!$B474+'Invoice Data'!$D474-'Invoice Data'!$G474-'Invoice Data'!$K474+'Invoice Data'!$H474</f>
        <v>4942</v>
      </c>
      <c r="M474" s="6" t="e">
        <f>VLOOKUP('Invoice Data'!$A474,BPay!$B$4:$D$10,3,0)</f>
        <v>#N/A</v>
      </c>
      <c r="N474" s="8"/>
    </row>
    <row r="475" spans="1:14" x14ac:dyDescent="0.3">
      <c r="A475" s="12">
        <v>35094</v>
      </c>
      <c r="B475" s="6">
        <v>0</v>
      </c>
      <c r="C475" s="7"/>
      <c r="D475" s="6">
        <v>4121</v>
      </c>
      <c r="E475" s="7">
        <v>1</v>
      </c>
      <c r="F475" s="7" t="str">
        <f t="shared" si="28"/>
        <v/>
      </c>
      <c r="G475" s="6">
        <f t="shared" si="29"/>
        <v>0</v>
      </c>
      <c r="H475" s="6">
        <f t="shared" si="30"/>
        <v>0</v>
      </c>
      <c r="I475" s="7">
        <v>16</v>
      </c>
      <c r="J475" s="7"/>
      <c r="K475" s="6">
        <f t="shared" si="31"/>
        <v>250</v>
      </c>
      <c r="L475" s="6">
        <f>'Invoice Data'!$B475+'Invoice Data'!$D475-'Invoice Data'!$G475-'Invoice Data'!$K475+'Invoice Data'!$H475</f>
        <v>3871</v>
      </c>
      <c r="M475" s="6" t="e">
        <f>VLOOKUP('Invoice Data'!$A475,BPay!$B$4:$D$10,3,0)</f>
        <v>#N/A</v>
      </c>
      <c r="N475" s="8"/>
    </row>
    <row r="476" spans="1:14" x14ac:dyDescent="0.3">
      <c r="A476" s="12">
        <v>35101</v>
      </c>
      <c r="B476" s="6">
        <v>0</v>
      </c>
      <c r="C476" s="7"/>
      <c r="D476" s="6">
        <v>6909</v>
      </c>
      <c r="E476" s="7">
        <v>2</v>
      </c>
      <c r="F476" s="7" t="str">
        <f t="shared" si="28"/>
        <v>Y</v>
      </c>
      <c r="G476" s="6">
        <f t="shared" si="29"/>
        <v>345.45000000000005</v>
      </c>
      <c r="H476" s="6">
        <f t="shared" si="30"/>
        <v>0</v>
      </c>
      <c r="I476" s="7">
        <v>10</v>
      </c>
      <c r="J476" s="7"/>
      <c r="K476" s="6">
        <f t="shared" si="31"/>
        <v>0</v>
      </c>
      <c r="L476" s="6">
        <f>'Invoice Data'!$B476+'Invoice Data'!$D476-'Invoice Data'!$G476-'Invoice Data'!$K476+'Invoice Data'!$H476</f>
        <v>6563.55</v>
      </c>
      <c r="M476" s="6" t="e">
        <f>VLOOKUP('Invoice Data'!$A476,BPay!$B$4:$D$10,3,0)</f>
        <v>#N/A</v>
      </c>
      <c r="N476" s="8"/>
    </row>
    <row r="477" spans="1:14" x14ac:dyDescent="0.3">
      <c r="A477" s="12">
        <v>35110</v>
      </c>
      <c r="B477" s="6">
        <v>0</v>
      </c>
      <c r="C477" s="7"/>
      <c r="D477" s="6">
        <v>6959</v>
      </c>
      <c r="E477" s="7">
        <v>2</v>
      </c>
      <c r="F477" s="7" t="str">
        <f t="shared" si="28"/>
        <v>Y</v>
      </c>
      <c r="G477" s="6">
        <f t="shared" si="29"/>
        <v>347.95000000000005</v>
      </c>
      <c r="H477" s="6">
        <f t="shared" si="30"/>
        <v>0</v>
      </c>
      <c r="I477" s="7">
        <v>12</v>
      </c>
      <c r="J477" s="7"/>
      <c r="K477" s="6">
        <f t="shared" si="31"/>
        <v>0</v>
      </c>
      <c r="L477" s="6">
        <f>'Invoice Data'!$B477+'Invoice Data'!$D477-'Invoice Data'!$G477-'Invoice Data'!$K477+'Invoice Data'!$H477</f>
        <v>6611.05</v>
      </c>
      <c r="M477" s="6" t="e">
        <f>VLOOKUP('Invoice Data'!$A477,BPay!$B$4:$D$10,3,0)</f>
        <v>#N/A</v>
      </c>
      <c r="N477" s="8"/>
    </row>
    <row r="478" spans="1:14" x14ac:dyDescent="0.3">
      <c r="A478" s="12">
        <v>35129</v>
      </c>
      <c r="B478" s="6">
        <v>0</v>
      </c>
      <c r="C478" s="7"/>
      <c r="D478" s="6">
        <v>8767</v>
      </c>
      <c r="E478" s="7">
        <v>2</v>
      </c>
      <c r="F478" s="7" t="str">
        <f t="shared" si="28"/>
        <v>Y</v>
      </c>
      <c r="G478" s="6">
        <f t="shared" si="29"/>
        <v>438.35</v>
      </c>
      <c r="H478" s="6">
        <f t="shared" si="30"/>
        <v>0</v>
      </c>
      <c r="I478" s="7">
        <v>9</v>
      </c>
      <c r="J478" s="7"/>
      <c r="K478" s="6">
        <f t="shared" si="31"/>
        <v>0</v>
      </c>
      <c r="L478" s="6">
        <f>'Invoice Data'!$B478+'Invoice Data'!$D478-'Invoice Data'!$G478-'Invoice Data'!$K478+'Invoice Data'!$H478</f>
        <v>8328.65</v>
      </c>
      <c r="M478" s="6" t="e">
        <f>VLOOKUP('Invoice Data'!$A478,BPay!$B$4:$D$10,3,0)</f>
        <v>#N/A</v>
      </c>
      <c r="N478" s="8"/>
    </row>
    <row r="479" spans="1:14" x14ac:dyDescent="0.3">
      <c r="A479" s="12">
        <v>35138</v>
      </c>
      <c r="B479" s="6">
        <v>0</v>
      </c>
      <c r="C479" s="7"/>
      <c r="D479" s="6">
        <v>5057</v>
      </c>
      <c r="E479" s="7">
        <v>1</v>
      </c>
      <c r="F479" s="7" t="str">
        <f t="shared" si="28"/>
        <v/>
      </c>
      <c r="G479" s="6">
        <f t="shared" si="29"/>
        <v>0</v>
      </c>
      <c r="H479" s="6">
        <f t="shared" si="30"/>
        <v>0</v>
      </c>
      <c r="I479" s="7">
        <v>12</v>
      </c>
      <c r="J479" s="7"/>
      <c r="K479" s="6">
        <f t="shared" si="31"/>
        <v>0</v>
      </c>
      <c r="L479" s="6">
        <f>'Invoice Data'!$B479+'Invoice Data'!$D479-'Invoice Data'!$G479-'Invoice Data'!$K479+'Invoice Data'!$H479</f>
        <v>5057</v>
      </c>
      <c r="M479" s="6" t="e">
        <f>VLOOKUP('Invoice Data'!$A479,BPay!$B$4:$D$10,3,0)</f>
        <v>#N/A</v>
      </c>
      <c r="N479" s="8"/>
    </row>
    <row r="480" spans="1:14" x14ac:dyDescent="0.3">
      <c r="A480" s="12">
        <v>35147</v>
      </c>
      <c r="B480" s="6">
        <v>0</v>
      </c>
      <c r="C480" s="7"/>
      <c r="D480" s="6">
        <v>5031</v>
      </c>
      <c r="E480" s="7">
        <v>1</v>
      </c>
      <c r="F480" s="7" t="str">
        <f t="shared" si="28"/>
        <v/>
      </c>
      <c r="G480" s="6">
        <f t="shared" si="29"/>
        <v>0</v>
      </c>
      <c r="H480" s="6">
        <f t="shared" si="30"/>
        <v>0</v>
      </c>
      <c r="I480" s="7">
        <v>0</v>
      </c>
      <c r="J480" s="7"/>
      <c r="K480" s="6">
        <f t="shared" si="31"/>
        <v>0</v>
      </c>
      <c r="L480" s="6">
        <f>'Invoice Data'!$B480+'Invoice Data'!$D480-'Invoice Data'!$G480-'Invoice Data'!$K480+'Invoice Data'!$H480</f>
        <v>5031</v>
      </c>
      <c r="M480" s="6" t="e">
        <f>VLOOKUP('Invoice Data'!$A480,BPay!$B$4:$D$10,3,0)</f>
        <v>#N/A</v>
      </c>
      <c r="N480" s="8"/>
    </row>
    <row r="481" spans="1:14" x14ac:dyDescent="0.3">
      <c r="A481" s="12">
        <v>35156</v>
      </c>
      <c r="B481" s="6">
        <v>0</v>
      </c>
      <c r="C481" s="7"/>
      <c r="D481" s="6">
        <v>5510</v>
      </c>
      <c r="E481" s="7">
        <v>1</v>
      </c>
      <c r="F481" s="7" t="str">
        <f t="shared" si="28"/>
        <v/>
      </c>
      <c r="G481" s="6">
        <f t="shared" si="29"/>
        <v>0</v>
      </c>
      <c r="H481" s="6">
        <f t="shared" si="30"/>
        <v>0</v>
      </c>
      <c r="I481" s="7">
        <v>11</v>
      </c>
      <c r="J481" s="7"/>
      <c r="K481" s="6">
        <f t="shared" si="31"/>
        <v>0</v>
      </c>
      <c r="L481" s="6">
        <f>'Invoice Data'!$B481+'Invoice Data'!$D481-'Invoice Data'!$G481-'Invoice Data'!$K481+'Invoice Data'!$H481</f>
        <v>5510</v>
      </c>
      <c r="M481" s="6" t="e">
        <f>VLOOKUP('Invoice Data'!$A481,BPay!$B$4:$D$10,3,0)</f>
        <v>#N/A</v>
      </c>
      <c r="N481" s="8"/>
    </row>
    <row r="482" spans="1:14" x14ac:dyDescent="0.3">
      <c r="A482" s="12">
        <v>35165</v>
      </c>
      <c r="B482" s="6">
        <v>0</v>
      </c>
      <c r="C482" s="7"/>
      <c r="D482" s="6">
        <v>4334</v>
      </c>
      <c r="E482" s="7">
        <v>1</v>
      </c>
      <c r="F482" s="7" t="str">
        <f t="shared" si="28"/>
        <v/>
      </c>
      <c r="G482" s="6">
        <f t="shared" si="29"/>
        <v>0</v>
      </c>
      <c r="H482" s="6">
        <f t="shared" si="30"/>
        <v>0</v>
      </c>
      <c r="I482" s="7">
        <v>3</v>
      </c>
      <c r="J482" s="7"/>
      <c r="K482" s="6">
        <f t="shared" si="31"/>
        <v>0</v>
      </c>
      <c r="L482" s="6">
        <f>'Invoice Data'!$B482+'Invoice Data'!$D482-'Invoice Data'!$G482-'Invoice Data'!$K482+'Invoice Data'!$H482</f>
        <v>4334</v>
      </c>
      <c r="M482" s="6" t="e">
        <f>VLOOKUP('Invoice Data'!$A482,BPay!$B$4:$D$10,3,0)</f>
        <v>#N/A</v>
      </c>
      <c r="N482" s="8"/>
    </row>
    <row r="483" spans="1:14" x14ac:dyDescent="0.3">
      <c r="A483" s="12">
        <v>35174</v>
      </c>
      <c r="B483" s="6">
        <v>0</v>
      </c>
      <c r="C483" s="7"/>
      <c r="D483" s="6">
        <v>4137</v>
      </c>
      <c r="E483" s="7">
        <v>1</v>
      </c>
      <c r="F483" s="7" t="str">
        <f t="shared" si="28"/>
        <v/>
      </c>
      <c r="G483" s="6">
        <f t="shared" si="29"/>
        <v>0</v>
      </c>
      <c r="H483" s="6">
        <f t="shared" si="30"/>
        <v>0</v>
      </c>
      <c r="I483" s="7">
        <v>8</v>
      </c>
      <c r="J483" s="7"/>
      <c r="K483" s="6">
        <f t="shared" si="31"/>
        <v>0</v>
      </c>
      <c r="L483" s="6">
        <f>'Invoice Data'!$B483+'Invoice Data'!$D483-'Invoice Data'!$G483-'Invoice Data'!$K483+'Invoice Data'!$H483</f>
        <v>4137</v>
      </c>
      <c r="M483" s="6" t="e">
        <f>VLOOKUP('Invoice Data'!$A483,BPay!$B$4:$D$10,3,0)</f>
        <v>#N/A</v>
      </c>
      <c r="N483" s="8"/>
    </row>
    <row r="484" spans="1:14" x14ac:dyDescent="0.3">
      <c r="A484" s="12">
        <v>35183</v>
      </c>
      <c r="B484" s="6">
        <v>0</v>
      </c>
      <c r="C484" s="7"/>
      <c r="D484" s="6">
        <v>4824</v>
      </c>
      <c r="E484" s="7">
        <v>1</v>
      </c>
      <c r="F484" s="7" t="str">
        <f t="shared" si="28"/>
        <v/>
      </c>
      <c r="G484" s="6">
        <f t="shared" si="29"/>
        <v>0</v>
      </c>
      <c r="H484" s="6">
        <f t="shared" si="30"/>
        <v>0</v>
      </c>
      <c r="I484" s="7">
        <v>7</v>
      </c>
      <c r="J484" s="7"/>
      <c r="K484" s="6">
        <f t="shared" si="31"/>
        <v>0</v>
      </c>
      <c r="L484" s="6">
        <f>'Invoice Data'!$B484+'Invoice Data'!$D484-'Invoice Data'!$G484-'Invoice Data'!$K484+'Invoice Data'!$H484</f>
        <v>4824</v>
      </c>
      <c r="M484" s="6" t="e">
        <f>VLOOKUP('Invoice Data'!$A484,BPay!$B$4:$D$10,3,0)</f>
        <v>#N/A</v>
      </c>
      <c r="N484" s="8"/>
    </row>
    <row r="485" spans="1:14" x14ac:dyDescent="0.3">
      <c r="A485" s="12">
        <v>35192</v>
      </c>
      <c r="B485" s="6">
        <v>0</v>
      </c>
      <c r="C485" s="7"/>
      <c r="D485" s="6">
        <v>7869</v>
      </c>
      <c r="E485" s="7">
        <v>2</v>
      </c>
      <c r="F485" s="7" t="str">
        <f t="shared" si="28"/>
        <v>Y</v>
      </c>
      <c r="G485" s="6">
        <f t="shared" si="29"/>
        <v>393.45000000000005</v>
      </c>
      <c r="H485" s="6">
        <f t="shared" si="30"/>
        <v>0</v>
      </c>
      <c r="I485" s="7">
        <v>16</v>
      </c>
      <c r="J485" s="7"/>
      <c r="K485" s="6">
        <f t="shared" si="31"/>
        <v>250</v>
      </c>
      <c r="L485" s="6">
        <f>'Invoice Data'!$B485+'Invoice Data'!$D485-'Invoice Data'!$G485-'Invoice Data'!$K485+'Invoice Data'!$H485</f>
        <v>7225.55</v>
      </c>
      <c r="M485" s="6" t="e">
        <f>VLOOKUP('Invoice Data'!$A485,BPay!$B$4:$D$10,3,0)</f>
        <v>#N/A</v>
      </c>
      <c r="N485" s="8"/>
    </row>
    <row r="486" spans="1:14" x14ac:dyDescent="0.3">
      <c r="A486" s="12">
        <v>35209</v>
      </c>
      <c r="B486" s="6">
        <v>0</v>
      </c>
      <c r="C486" s="7"/>
      <c r="D486" s="6">
        <v>3578</v>
      </c>
      <c r="E486" s="7">
        <v>1</v>
      </c>
      <c r="F486" s="7" t="str">
        <f t="shared" si="28"/>
        <v/>
      </c>
      <c r="G486" s="6">
        <f t="shared" si="29"/>
        <v>0</v>
      </c>
      <c r="H486" s="6">
        <f t="shared" si="30"/>
        <v>0</v>
      </c>
      <c r="I486" s="7">
        <v>12</v>
      </c>
      <c r="J486" s="7"/>
      <c r="K486" s="6">
        <f t="shared" si="31"/>
        <v>0</v>
      </c>
      <c r="L486" s="6">
        <f>'Invoice Data'!$B486+'Invoice Data'!$D486-'Invoice Data'!$G486-'Invoice Data'!$K486+'Invoice Data'!$H486</f>
        <v>3578</v>
      </c>
      <c r="M486" s="6" t="e">
        <f>VLOOKUP('Invoice Data'!$A486,BPay!$B$4:$D$10,3,0)</f>
        <v>#N/A</v>
      </c>
      <c r="N486" s="8"/>
    </row>
    <row r="487" spans="1:14" x14ac:dyDescent="0.3">
      <c r="A487" s="12">
        <v>35218</v>
      </c>
      <c r="B487" s="6">
        <v>0</v>
      </c>
      <c r="C487" s="7"/>
      <c r="D487" s="6">
        <v>9650</v>
      </c>
      <c r="E487" s="7">
        <v>2</v>
      </c>
      <c r="F487" s="7" t="str">
        <f t="shared" si="28"/>
        <v>Y</v>
      </c>
      <c r="G487" s="6">
        <f t="shared" si="29"/>
        <v>482.5</v>
      </c>
      <c r="H487" s="6">
        <f t="shared" si="30"/>
        <v>0</v>
      </c>
      <c r="I487" s="7">
        <v>8</v>
      </c>
      <c r="J487" s="7"/>
      <c r="K487" s="6">
        <f t="shared" si="31"/>
        <v>0</v>
      </c>
      <c r="L487" s="6">
        <f>'Invoice Data'!$B487+'Invoice Data'!$D487-'Invoice Data'!$G487-'Invoice Data'!$K487+'Invoice Data'!$H487</f>
        <v>9167.5</v>
      </c>
      <c r="M487" s="6" t="e">
        <f>VLOOKUP('Invoice Data'!$A487,BPay!$B$4:$D$10,3,0)</f>
        <v>#N/A</v>
      </c>
      <c r="N487" s="8"/>
    </row>
    <row r="488" spans="1:14" x14ac:dyDescent="0.3">
      <c r="A488" s="12">
        <v>35227</v>
      </c>
      <c r="B488" s="6">
        <v>0</v>
      </c>
      <c r="C488" s="7"/>
      <c r="D488" s="6">
        <v>9211</v>
      </c>
      <c r="E488" s="7">
        <v>2</v>
      </c>
      <c r="F488" s="7" t="str">
        <f t="shared" si="28"/>
        <v>Y</v>
      </c>
      <c r="G488" s="6">
        <f t="shared" si="29"/>
        <v>460.55</v>
      </c>
      <c r="H488" s="6">
        <f t="shared" si="30"/>
        <v>0</v>
      </c>
      <c r="I488" s="7">
        <v>16</v>
      </c>
      <c r="J488" s="7"/>
      <c r="K488" s="6">
        <f t="shared" si="31"/>
        <v>250</v>
      </c>
      <c r="L488" s="6">
        <f>'Invoice Data'!$B488+'Invoice Data'!$D488-'Invoice Data'!$G488-'Invoice Data'!$K488+'Invoice Data'!$H488</f>
        <v>8500.4500000000007</v>
      </c>
      <c r="M488" s="6" t="e">
        <f>VLOOKUP('Invoice Data'!$A488,BPay!$B$4:$D$10,3,0)</f>
        <v>#N/A</v>
      </c>
      <c r="N488" s="8"/>
    </row>
    <row r="489" spans="1:14" x14ac:dyDescent="0.3">
      <c r="A489" s="12">
        <v>35236</v>
      </c>
      <c r="B489" s="6">
        <v>0</v>
      </c>
      <c r="C489" s="7"/>
      <c r="D489" s="6">
        <v>4926</v>
      </c>
      <c r="E489" s="7">
        <v>1</v>
      </c>
      <c r="F489" s="7" t="str">
        <f t="shared" si="28"/>
        <v/>
      </c>
      <c r="G489" s="6">
        <f t="shared" si="29"/>
        <v>0</v>
      </c>
      <c r="H489" s="6">
        <f t="shared" si="30"/>
        <v>0</v>
      </c>
      <c r="I489" s="7">
        <v>2</v>
      </c>
      <c r="J489" s="7"/>
      <c r="K489" s="6">
        <f t="shared" si="31"/>
        <v>0</v>
      </c>
      <c r="L489" s="6">
        <f>'Invoice Data'!$B489+'Invoice Data'!$D489-'Invoice Data'!$G489-'Invoice Data'!$K489+'Invoice Data'!$H489</f>
        <v>4926</v>
      </c>
      <c r="M489" s="6" t="e">
        <f>VLOOKUP('Invoice Data'!$A489,BPay!$B$4:$D$10,3,0)</f>
        <v>#N/A</v>
      </c>
      <c r="N489" s="8"/>
    </row>
    <row r="490" spans="1:14" x14ac:dyDescent="0.3">
      <c r="A490" s="12">
        <v>35245</v>
      </c>
      <c r="B490" s="6">
        <v>0</v>
      </c>
      <c r="C490" s="7"/>
      <c r="D490" s="6">
        <v>5584</v>
      </c>
      <c r="E490" s="7">
        <v>1</v>
      </c>
      <c r="F490" s="7" t="str">
        <f t="shared" si="28"/>
        <v/>
      </c>
      <c r="G490" s="6">
        <f t="shared" si="29"/>
        <v>0</v>
      </c>
      <c r="H490" s="6">
        <f t="shared" si="30"/>
        <v>0</v>
      </c>
      <c r="I490" s="7">
        <v>7</v>
      </c>
      <c r="J490" s="7"/>
      <c r="K490" s="6">
        <f t="shared" si="31"/>
        <v>0</v>
      </c>
      <c r="L490" s="6">
        <f>'Invoice Data'!$B490+'Invoice Data'!$D490-'Invoice Data'!$G490-'Invoice Data'!$K490+'Invoice Data'!$H490</f>
        <v>5584</v>
      </c>
      <c r="M490" s="6" t="e">
        <f>VLOOKUP('Invoice Data'!$A490,BPay!$B$4:$D$10,3,0)</f>
        <v>#N/A</v>
      </c>
      <c r="N490" s="8"/>
    </row>
    <row r="491" spans="1:14" x14ac:dyDescent="0.3">
      <c r="A491" s="12">
        <v>35254</v>
      </c>
      <c r="B491" s="6">
        <v>0</v>
      </c>
      <c r="C491" s="7"/>
      <c r="D491" s="6">
        <v>4973</v>
      </c>
      <c r="E491" s="7">
        <v>1</v>
      </c>
      <c r="F491" s="7" t="str">
        <f t="shared" si="28"/>
        <v/>
      </c>
      <c r="G491" s="6">
        <f t="shared" si="29"/>
        <v>0</v>
      </c>
      <c r="H491" s="6">
        <f t="shared" si="30"/>
        <v>0</v>
      </c>
      <c r="I491" s="7">
        <v>10</v>
      </c>
      <c r="J491" s="7"/>
      <c r="K491" s="6">
        <f t="shared" si="31"/>
        <v>0</v>
      </c>
      <c r="L491" s="6">
        <f>'Invoice Data'!$B491+'Invoice Data'!$D491-'Invoice Data'!$G491-'Invoice Data'!$K491+'Invoice Data'!$H491</f>
        <v>4973</v>
      </c>
      <c r="M491" s="6" t="e">
        <f>VLOOKUP('Invoice Data'!$A491,BPay!$B$4:$D$10,3,0)</f>
        <v>#N/A</v>
      </c>
      <c r="N491" s="8"/>
    </row>
    <row r="492" spans="1:14" x14ac:dyDescent="0.3">
      <c r="A492" s="12">
        <v>35263</v>
      </c>
      <c r="B492" s="6">
        <v>0</v>
      </c>
      <c r="C492" s="7"/>
      <c r="D492" s="6">
        <v>9827</v>
      </c>
      <c r="E492" s="7">
        <v>2</v>
      </c>
      <c r="F492" s="7" t="str">
        <f t="shared" si="28"/>
        <v>Y</v>
      </c>
      <c r="G492" s="6">
        <f t="shared" si="29"/>
        <v>491.35</v>
      </c>
      <c r="H492" s="6">
        <f t="shared" si="30"/>
        <v>0</v>
      </c>
      <c r="I492" s="7">
        <v>16</v>
      </c>
      <c r="J492" s="7"/>
      <c r="K492" s="6">
        <f t="shared" si="31"/>
        <v>250</v>
      </c>
      <c r="L492" s="6">
        <f>'Invoice Data'!$B492+'Invoice Data'!$D492-'Invoice Data'!$G492-'Invoice Data'!$K492+'Invoice Data'!$H492</f>
        <v>9085.65</v>
      </c>
      <c r="M492" s="6" t="e">
        <f>VLOOKUP('Invoice Data'!$A492,BPay!$B$4:$D$10,3,0)</f>
        <v>#N/A</v>
      </c>
      <c r="N492" s="8"/>
    </row>
    <row r="493" spans="1:14" x14ac:dyDescent="0.3">
      <c r="A493" s="12">
        <v>35272</v>
      </c>
      <c r="B493" s="6">
        <v>0</v>
      </c>
      <c r="C493" s="7"/>
      <c r="D493" s="6">
        <v>4434</v>
      </c>
      <c r="E493" s="7">
        <v>1</v>
      </c>
      <c r="F493" s="7" t="str">
        <f t="shared" si="28"/>
        <v/>
      </c>
      <c r="G493" s="6">
        <f t="shared" si="29"/>
        <v>0</v>
      </c>
      <c r="H493" s="6">
        <f t="shared" si="30"/>
        <v>0</v>
      </c>
      <c r="I493" s="7">
        <v>2</v>
      </c>
      <c r="J493" s="7"/>
      <c r="K493" s="6">
        <f t="shared" si="31"/>
        <v>0</v>
      </c>
      <c r="L493" s="6">
        <f>'Invoice Data'!$B493+'Invoice Data'!$D493-'Invoice Data'!$G493-'Invoice Data'!$K493+'Invoice Data'!$H493</f>
        <v>4434</v>
      </c>
      <c r="M493" s="6" t="e">
        <f>VLOOKUP('Invoice Data'!$A493,BPay!$B$4:$D$10,3,0)</f>
        <v>#N/A</v>
      </c>
      <c r="N493" s="8"/>
    </row>
    <row r="494" spans="1:14" x14ac:dyDescent="0.3">
      <c r="A494" s="12">
        <v>35281</v>
      </c>
      <c r="B494" s="6">
        <v>0</v>
      </c>
      <c r="C494" s="7"/>
      <c r="D494" s="6">
        <v>3812</v>
      </c>
      <c r="E494" s="7">
        <v>1</v>
      </c>
      <c r="F494" s="7" t="str">
        <f t="shared" si="28"/>
        <v/>
      </c>
      <c r="G494" s="6">
        <f t="shared" si="29"/>
        <v>0</v>
      </c>
      <c r="H494" s="6">
        <f t="shared" si="30"/>
        <v>0</v>
      </c>
      <c r="I494" s="7">
        <v>1</v>
      </c>
      <c r="J494" s="7"/>
      <c r="K494" s="6">
        <f t="shared" si="31"/>
        <v>0</v>
      </c>
      <c r="L494" s="6">
        <f>'Invoice Data'!$B494+'Invoice Data'!$D494-'Invoice Data'!$G494-'Invoice Data'!$K494+'Invoice Data'!$H494</f>
        <v>3812</v>
      </c>
      <c r="M494" s="6" t="e">
        <f>VLOOKUP('Invoice Data'!$A494,BPay!$B$4:$D$10,3,0)</f>
        <v>#N/A</v>
      </c>
      <c r="N494" s="8"/>
    </row>
    <row r="495" spans="1:14" x14ac:dyDescent="0.3">
      <c r="A495" s="12">
        <v>35290</v>
      </c>
      <c r="B495" s="6">
        <v>0</v>
      </c>
      <c r="C495" s="7"/>
      <c r="D495" s="6">
        <v>7182</v>
      </c>
      <c r="E495" s="7">
        <v>2</v>
      </c>
      <c r="F495" s="7" t="str">
        <f t="shared" si="28"/>
        <v>Y</v>
      </c>
      <c r="G495" s="6">
        <f t="shared" si="29"/>
        <v>359.1</v>
      </c>
      <c r="H495" s="6">
        <f t="shared" si="30"/>
        <v>0</v>
      </c>
      <c r="I495" s="7">
        <v>14</v>
      </c>
      <c r="J495" s="7"/>
      <c r="K495" s="6">
        <f t="shared" si="31"/>
        <v>0</v>
      </c>
      <c r="L495" s="6">
        <f>'Invoice Data'!$B495+'Invoice Data'!$D495-'Invoice Data'!$G495-'Invoice Data'!$K495+'Invoice Data'!$H495</f>
        <v>6822.9</v>
      </c>
      <c r="M495" s="6" t="e">
        <f>VLOOKUP('Invoice Data'!$A495,BPay!$B$4:$D$10,3,0)</f>
        <v>#N/A</v>
      </c>
      <c r="N495" s="8"/>
    </row>
    <row r="496" spans="1:14" x14ac:dyDescent="0.3">
      <c r="A496" s="12">
        <v>35307</v>
      </c>
      <c r="B496" s="6">
        <v>0</v>
      </c>
      <c r="C496" s="7"/>
      <c r="D496" s="6">
        <v>4810</v>
      </c>
      <c r="E496" s="7">
        <v>1</v>
      </c>
      <c r="F496" s="7" t="str">
        <f t="shared" si="28"/>
        <v/>
      </c>
      <c r="G496" s="6">
        <f t="shared" si="29"/>
        <v>0</v>
      </c>
      <c r="H496" s="6">
        <f t="shared" si="30"/>
        <v>0</v>
      </c>
      <c r="I496" s="7">
        <v>9</v>
      </c>
      <c r="J496" s="7"/>
      <c r="K496" s="6">
        <f t="shared" si="31"/>
        <v>0</v>
      </c>
      <c r="L496" s="6">
        <f>'Invoice Data'!$B496+'Invoice Data'!$D496-'Invoice Data'!$G496-'Invoice Data'!$K496+'Invoice Data'!$H496</f>
        <v>4810</v>
      </c>
      <c r="M496" s="6" t="e">
        <f>VLOOKUP('Invoice Data'!$A496,BPay!$B$4:$D$10,3,0)</f>
        <v>#N/A</v>
      </c>
      <c r="N496" s="8"/>
    </row>
    <row r="497" spans="1:14" x14ac:dyDescent="0.3">
      <c r="A497" s="12">
        <v>35316</v>
      </c>
      <c r="B497" s="6">
        <v>0</v>
      </c>
      <c r="C497" s="7"/>
      <c r="D497" s="6">
        <v>8549</v>
      </c>
      <c r="E497" s="7">
        <v>2</v>
      </c>
      <c r="F497" s="7" t="str">
        <f t="shared" si="28"/>
        <v>Y</v>
      </c>
      <c r="G497" s="6">
        <f t="shared" si="29"/>
        <v>427.45000000000005</v>
      </c>
      <c r="H497" s="6">
        <f t="shared" si="30"/>
        <v>0</v>
      </c>
      <c r="I497" s="7">
        <v>3</v>
      </c>
      <c r="J497" s="7"/>
      <c r="K497" s="6">
        <f t="shared" si="31"/>
        <v>0</v>
      </c>
      <c r="L497" s="6">
        <f>'Invoice Data'!$B497+'Invoice Data'!$D497-'Invoice Data'!$G497-'Invoice Data'!$K497+'Invoice Data'!$H497</f>
        <v>8121.55</v>
      </c>
      <c r="M497" s="6" t="e">
        <f>VLOOKUP('Invoice Data'!$A497,BPay!$B$4:$D$10,3,0)</f>
        <v>#N/A</v>
      </c>
      <c r="N497" s="8"/>
    </row>
    <row r="498" spans="1:14" x14ac:dyDescent="0.3">
      <c r="A498" s="12">
        <v>35325</v>
      </c>
      <c r="B498" s="6">
        <v>0</v>
      </c>
      <c r="C498" s="7"/>
      <c r="D498" s="6">
        <v>4849</v>
      </c>
      <c r="E498" s="7">
        <v>1</v>
      </c>
      <c r="F498" s="7" t="str">
        <f t="shared" si="28"/>
        <v/>
      </c>
      <c r="G498" s="6">
        <f t="shared" si="29"/>
        <v>0</v>
      </c>
      <c r="H498" s="6">
        <f t="shared" si="30"/>
        <v>0</v>
      </c>
      <c r="I498" s="7">
        <v>3</v>
      </c>
      <c r="J498" s="7"/>
      <c r="K498" s="6">
        <f t="shared" si="31"/>
        <v>0</v>
      </c>
      <c r="L498" s="6">
        <f>'Invoice Data'!$B498+'Invoice Data'!$D498-'Invoice Data'!$G498-'Invoice Data'!$K498+'Invoice Data'!$H498</f>
        <v>4849</v>
      </c>
      <c r="M498" s="6" t="e">
        <f>VLOOKUP('Invoice Data'!$A498,BPay!$B$4:$D$10,3,0)</f>
        <v>#N/A</v>
      </c>
      <c r="N498" s="8"/>
    </row>
    <row r="499" spans="1:14" x14ac:dyDescent="0.3">
      <c r="A499" s="12">
        <v>35334</v>
      </c>
      <c r="B499" s="6">
        <v>0</v>
      </c>
      <c r="C499" s="7"/>
      <c r="D499" s="6">
        <v>3522</v>
      </c>
      <c r="E499" s="7">
        <v>1</v>
      </c>
      <c r="F499" s="7" t="str">
        <f t="shared" si="28"/>
        <v/>
      </c>
      <c r="G499" s="6">
        <f t="shared" si="29"/>
        <v>0</v>
      </c>
      <c r="H499" s="6">
        <f t="shared" si="30"/>
        <v>0</v>
      </c>
      <c r="I499" s="7">
        <v>16</v>
      </c>
      <c r="J499" s="7"/>
      <c r="K499" s="6">
        <f t="shared" si="31"/>
        <v>250</v>
      </c>
      <c r="L499" s="6">
        <f>'Invoice Data'!$B499+'Invoice Data'!$D499-'Invoice Data'!$G499-'Invoice Data'!$K499+'Invoice Data'!$H499</f>
        <v>3272</v>
      </c>
      <c r="M499" s="6" t="e">
        <f>VLOOKUP('Invoice Data'!$A499,BPay!$B$4:$D$10,3,0)</f>
        <v>#N/A</v>
      </c>
      <c r="N499" s="8"/>
    </row>
    <row r="500" spans="1:14" x14ac:dyDescent="0.3">
      <c r="A500" s="12">
        <v>35343</v>
      </c>
      <c r="B500" s="6">
        <v>0</v>
      </c>
      <c r="C500" s="7"/>
      <c r="D500" s="6">
        <v>5218</v>
      </c>
      <c r="E500" s="7">
        <v>1</v>
      </c>
      <c r="F500" s="7" t="str">
        <f t="shared" si="28"/>
        <v/>
      </c>
      <c r="G500" s="6">
        <f t="shared" si="29"/>
        <v>0</v>
      </c>
      <c r="H500" s="6">
        <f t="shared" si="30"/>
        <v>0</v>
      </c>
      <c r="I500" s="7">
        <v>3</v>
      </c>
      <c r="J500" s="7"/>
      <c r="K500" s="6">
        <f t="shared" si="31"/>
        <v>0</v>
      </c>
      <c r="L500" s="6">
        <f>'Invoice Data'!$B500+'Invoice Data'!$D500-'Invoice Data'!$G500-'Invoice Data'!$K500+'Invoice Data'!$H500</f>
        <v>5218</v>
      </c>
      <c r="M500" s="6" t="e">
        <f>VLOOKUP('Invoice Data'!$A500,BPay!$B$4:$D$10,3,0)</f>
        <v>#N/A</v>
      </c>
      <c r="N500" s="8"/>
    </row>
    <row r="501" spans="1:14" x14ac:dyDescent="0.3">
      <c r="A501" s="12">
        <v>35352</v>
      </c>
      <c r="B501" s="6">
        <v>-1035</v>
      </c>
      <c r="C501" s="7" t="s">
        <v>7</v>
      </c>
      <c r="D501" s="6">
        <v>10024</v>
      </c>
      <c r="E501" s="7">
        <v>2</v>
      </c>
      <c r="F501" s="7" t="str">
        <f t="shared" si="28"/>
        <v>Y</v>
      </c>
      <c r="G501" s="6">
        <f t="shared" si="29"/>
        <v>501.20000000000005</v>
      </c>
      <c r="H501" s="6">
        <f t="shared" si="30"/>
        <v>0</v>
      </c>
      <c r="I501" s="7">
        <v>12</v>
      </c>
      <c r="J501" s="7"/>
      <c r="K501" s="6">
        <f t="shared" si="31"/>
        <v>0</v>
      </c>
      <c r="L501" s="6">
        <f>'Invoice Data'!$B501+'Invoice Data'!$D501-'Invoice Data'!$G501-'Invoice Data'!$K501+'Invoice Data'!$H501</f>
        <v>8487.7999999999993</v>
      </c>
      <c r="M501" s="6" t="e">
        <f>VLOOKUP('Invoice Data'!$A501,BPay!$B$4:$D$10,3,0)</f>
        <v>#N/A</v>
      </c>
      <c r="N501" s="8"/>
    </row>
    <row r="502" spans="1:14" x14ac:dyDescent="0.3">
      <c r="A502" s="12">
        <v>35361</v>
      </c>
      <c r="B502" s="6">
        <v>0</v>
      </c>
      <c r="C502" s="7"/>
      <c r="D502" s="6">
        <v>4965</v>
      </c>
      <c r="E502" s="7">
        <v>1</v>
      </c>
      <c r="F502" s="7" t="str">
        <f t="shared" si="28"/>
        <v/>
      </c>
      <c r="G502" s="6">
        <f t="shared" si="29"/>
        <v>0</v>
      </c>
      <c r="H502" s="6">
        <f t="shared" si="30"/>
        <v>0</v>
      </c>
      <c r="I502" s="7">
        <v>8</v>
      </c>
      <c r="J502" s="7"/>
      <c r="K502" s="6">
        <f t="shared" si="31"/>
        <v>0</v>
      </c>
      <c r="L502" s="6">
        <f>'Invoice Data'!$B502+'Invoice Data'!$D502-'Invoice Data'!$G502-'Invoice Data'!$K502+'Invoice Data'!$H502</f>
        <v>4965</v>
      </c>
      <c r="M502" s="6" t="e">
        <f>VLOOKUP('Invoice Data'!$A502,BPay!$B$4:$D$10,3,0)</f>
        <v>#N/A</v>
      </c>
      <c r="N502" s="8"/>
    </row>
    <row r="503" spans="1:14" x14ac:dyDescent="0.3">
      <c r="A503" s="12">
        <v>35370</v>
      </c>
      <c r="B503" s="6">
        <v>0</v>
      </c>
      <c r="C503" s="7"/>
      <c r="D503" s="6">
        <v>8108</v>
      </c>
      <c r="E503" s="7">
        <v>2</v>
      </c>
      <c r="F503" s="7" t="str">
        <f t="shared" si="28"/>
        <v>Y</v>
      </c>
      <c r="G503" s="6">
        <f t="shared" si="29"/>
        <v>405.40000000000003</v>
      </c>
      <c r="H503" s="6">
        <f t="shared" si="30"/>
        <v>0</v>
      </c>
      <c r="I503" s="7">
        <v>14</v>
      </c>
      <c r="J503" s="7"/>
      <c r="K503" s="6">
        <f t="shared" si="31"/>
        <v>0</v>
      </c>
      <c r="L503" s="6">
        <f>'Invoice Data'!$B503+'Invoice Data'!$D503-'Invoice Data'!$G503-'Invoice Data'!$K503+'Invoice Data'!$H503</f>
        <v>7702.6</v>
      </c>
      <c r="M503" s="6" t="e">
        <f>VLOOKUP('Invoice Data'!$A503,BPay!$B$4:$D$10,3,0)</f>
        <v>#N/A</v>
      </c>
      <c r="N503" s="8"/>
    </row>
    <row r="504" spans="1:14" x14ac:dyDescent="0.3">
      <c r="A504" s="12">
        <v>35389</v>
      </c>
      <c r="B504" s="6">
        <v>0</v>
      </c>
      <c r="C504" s="7"/>
      <c r="D504" s="6">
        <v>8678</v>
      </c>
      <c r="E504" s="7">
        <v>2</v>
      </c>
      <c r="F504" s="7" t="str">
        <f t="shared" si="28"/>
        <v>Y</v>
      </c>
      <c r="G504" s="6">
        <f t="shared" si="29"/>
        <v>433.90000000000003</v>
      </c>
      <c r="H504" s="6">
        <f t="shared" si="30"/>
        <v>0</v>
      </c>
      <c r="I504" s="7">
        <v>9</v>
      </c>
      <c r="J504" s="7"/>
      <c r="K504" s="6">
        <f t="shared" si="31"/>
        <v>0</v>
      </c>
      <c r="L504" s="6">
        <f>'Invoice Data'!$B504+'Invoice Data'!$D504-'Invoice Data'!$G504-'Invoice Data'!$K504+'Invoice Data'!$H504</f>
        <v>8244.1</v>
      </c>
      <c r="M504" s="6" t="e">
        <f>VLOOKUP('Invoice Data'!$A504,BPay!$B$4:$D$10,3,0)</f>
        <v>#N/A</v>
      </c>
      <c r="N504" s="8"/>
    </row>
    <row r="505" spans="1:14" x14ac:dyDescent="0.3">
      <c r="A505" s="12">
        <v>35398</v>
      </c>
      <c r="B505" s="6">
        <v>0</v>
      </c>
      <c r="C505" s="7"/>
      <c r="D505" s="6">
        <v>7324</v>
      </c>
      <c r="E505" s="7">
        <v>2</v>
      </c>
      <c r="F505" s="7" t="str">
        <f t="shared" si="28"/>
        <v>Y</v>
      </c>
      <c r="G505" s="6">
        <f t="shared" si="29"/>
        <v>366.20000000000005</v>
      </c>
      <c r="H505" s="6">
        <f t="shared" si="30"/>
        <v>0</v>
      </c>
      <c r="I505" s="7">
        <v>4</v>
      </c>
      <c r="J505" s="7"/>
      <c r="K505" s="6">
        <f t="shared" si="31"/>
        <v>0</v>
      </c>
      <c r="L505" s="6">
        <f>'Invoice Data'!$B505+'Invoice Data'!$D505-'Invoice Data'!$G505-'Invoice Data'!$K505+'Invoice Data'!$H505</f>
        <v>6957.8</v>
      </c>
      <c r="M505" s="6" t="e">
        <f>VLOOKUP('Invoice Data'!$A505,BPay!$B$4:$D$10,3,0)</f>
        <v>#N/A</v>
      </c>
      <c r="N505" s="8"/>
    </row>
    <row r="506" spans="1:14" x14ac:dyDescent="0.3">
      <c r="A506" s="12">
        <v>35405</v>
      </c>
      <c r="B506" s="6">
        <v>0</v>
      </c>
      <c r="C506" s="7"/>
      <c r="D506" s="6">
        <v>3398</v>
      </c>
      <c r="E506" s="7">
        <v>1</v>
      </c>
      <c r="F506" s="7" t="str">
        <f t="shared" si="28"/>
        <v/>
      </c>
      <c r="G506" s="6">
        <f t="shared" si="29"/>
        <v>0</v>
      </c>
      <c r="H506" s="6">
        <f t="shared" si="30"/>
        <v>0</v>
      </c>
      <c r="I506" s="7">
        <v>10</v>
      </c>
      <c r="J506" s="7"/>
      <c r="K506" s="6">
        <f t="shared" si="31"/>
        <v>0</v>
      </c>
      <c r="L506" s="6">
        <f>'Invoice Data'!$B506+'Invoice Data'!$D506-'Invoice Data'!$G506-'Invoice Data'!$K506+'Invoice Data'!$H506</f>
        <v>3398</v>
      </c>
      <c r="M506" s="6" t="e">
        <f>VLOOKUP('Invoice Data'!$A506,BPay!$B$4:$D$10,3,0)</f>
        <v>#N/A</v>
      </c>
      <c r="N506" s="8"/>
    </row>
    <row r="507" spans="1:14" x14ac:dyDescent="0.3">
      <c r="A507" s="12">
        <v>35414</v>
      </c>
      <c r="B507" s="6">
        <v>0</v>
      </c>
      <c r="C507" s="7"/>
      <c r="D507" s="6">
        <v>7725</v>
      </c>
      <c r="E507" s="7">
        <v>2</v>
      </c>
      <c r="F507" s="7" t="str">
        <f t="shared" si="28"/>
        <v>Y</v>
      </c>
      <c r="G507" s="6">
        <f t="shared" si="29"/>
        <v>386.25</v>
      </c>
      <c r="H507" s="6">
        <f t="shared" si="30"/>
        <v>0</v>
      </c>
      <c r="I507" s="7">
        <v>10</v>
      </c>
      <c r="J507" s="7"/>
      <c r="K507" s="6">
        <f t="shared" si="31"/>
        <v>0</v>
      </c>
      <c r="L507" s="6">
        <f>'Invoice Data'!$B507+'Invoice Data'!$D507-'Invoice Data'!$G507-'Invoice Data'!$K507+'Invoice Data'!$H507</f>
        <v>7338.75</v>
      </c>
      <c r="M507" s="6" t="e">
        <f>VLOOKUP('Invoice Data'!$A507,BPay!$B$4:$D$10,3,0)</f>
        <v>#N/A</v>
      </c>
      <c r="N507" s="8"/>
    </row>
    <row r="508" spans="1:14" x14ac:dyDescent="0.3">
      <c r="A508" s="12">
        <v>35423</v>
      </c>
      <c r="B508" s="6">
        <v>-2178</v>
      </c>
      <c r="C508" s="7"/>
      <c r="D508" s="6">
        <v>8181</v>
      </c>
      <c r="E508" s="7">
        <v>2</v>
      </c>
      <c r="F508" s="7" t="str">
        <f t="shared" si="28"/>
        <v>Y</v>
      </c>
      <c r="G508" s="6">
        <f t="shared" si="29"/>
        <v>409.05</v>
      </c>
      <c r="H508" s="6">
        <f t="shared" si="30"/>
        <v>0</v>
      </c>
      <c r="I508" s="7">
        <v>12</v>
      </c>
      <c r="J508" s="7"/>
      <c r="K508" s="6">
        <f t="shared" si="31"/>
        <v>0</v>
      </c>
      <c r="L508" s="6">
        <f>'Invoice Data'!$B508+'Invoice Data'!$D508-'Invoice Data'!$G508-'Invoice Data'!$K508+'Invoice Data'!$H508</f>
        <v>5593.95</v>
      </c>
      <c r="M508" s="6" t="e">
        <f>VLOOKUP('Invoice Data'!$A508,BPay!$B$4:$D$10,3,0)</f>
        <v>#N/A</v>
      </c>
      <c r="N508" s="8"/>
    </row>
    <row r="509" spans="1:14" x14ac:dyDescent="0.3">
      <c r="A509" s="12">
        <v>35432</v>
      </c>
      <c r="B509" s="6">
        <v>0</v>
      </c>
      <c r="C509" s="7"/>
      <c r="D509" s="6">
        <v>3615</v>
      </c>
      <c r="E509" s="7">
        <v>1</v>
      </c>
      <c r="F509" s="7" t="str">
        <f t="shared" si="28"/>
        <v/>
      </c>
      <c r="G509" s="6">
        <f t="shared" si="29"/>
        <v>0</v>
      </c>
      <c r="H509" s="6">
        <f t="shared" si="30"/>
        <v>0</v>
      </c>
      <c r="I509" s="7">
        <v>10</v>
      </c>
      <c r="J509" s="7"/>
      <c r="K509" s="6">
        <f t="shared" si="31"/>
        <v>0</v>
      </c>
      <c r="L509" s="6">
        <f>'Invoice Data'!$B509+'Invoice Data'!$D509-'Invoice Data'!$G509-'Invoice Data'!$K509+'Invoice Data'!$H509</f>
        <v>3615</v>
      </c>
      <c r="M509" s="6" t="e">
        <f>VLOOKUP('Invoice Data'!$A509,BPay!$B$4:$D$10,3,0)</f>
        <v>#N/A</v>
      </c>
      <c r="N509" s="8"/>
    </row>
    <row r="510" spans="1:14" x14ac:dyDescent="0.3">
      <c r="A510" s="12">
        <v>35441</v>
      </c>
      <c r="B510" s="6">
        <v>0</v>
      </c>
      <c r="C510" s="7"/>
      <c r="D510" s="6">
        <v>9488</v>
      </c>
      <c r="E510" s="7">
        <v>2</v>
      </c>
      <c r="F510" s="7" t="str">
        <f t="shared" si="28"/>
        <v>Y</v>
      </c>
      <c r="G510" s="6">
        <f t="shared" si="29"/>
        <v>474.40000000000003</v>
      </c>
      <c r="H510" s="6">
        <f t="shared" si="30"/>
        <v>0</v>
      </c>
      <c r="I510" s="7">
        <v>2</v>
      </c>
      <c r="J510" s="7"/>
      <c r="K510" s="6">
        <f t="shared" si="31"/>
        <v>0</v>
      </c>
      <c r="L510" s="6">
        <f>'Invoice Data'!$B510+'Invoice Data'!$D510-'Invoice Data'!$G510-'Invoice Data'!$K510+'Invoice Data'!$H510</f>
        <v>9013.6</v>
      </c>
      <c r="M510" s="6" t="e">
        <f>VLOOKUP('Invoice Data'!$A510,BPay!$B$4:$D$10,3,0)</f>
        <v>#N/A</v>
      </c>
      <c r="N510" s="8"/>
    </row>
    <row r="511" spans="1:14" x14ac:dyDescent="0.3">
      <c r="A511" s="12">
        <v>35450</v>
      </c>
      <c r="B511" s="6">
        <v>0</v>
      </c>
      <c r="C511" s="7"/>
      <c r="D511" s="6">
        <v>4612</v>
      </c>
      <c r="E511" s="7">
        <v>1</v>
      </c>
      <c r="F511" s="7" t="str">
        <f t="shared" si="28"/>
        <v/>
      </c>
      <c r="G511" s="6">
        <f t="shared" si="29"/>
        <v>0</v>
      </c>
      <c r="H511" s="6">
        <f t="shared" si="30"/>
        <v>0</v>
      </c>
      <c r="I511" s="7">
        <v>3</v>
      </c>
      <c r="J511" s="7"/>
      <c r="K511" s="6">
        <f t="shared" si="31"/>
        <v>0</v>
      </c>
      <c r="L511" s="6">
        <f>'Invoice Data'!$B511+'Invoice Data'!$D511-'Invoice Data'!$G511-'Invoice Data'!$K511+'Invoice Data'!$H511</f>
        <v>4612</v>
      </c>
      <c r="M511" s="6" t="e">
        <f>VLOOKUP('Invoice Data'!$A511,BPay!$B$4:$D$10,3,0)</f>
        <v>#N/A</v>
      </c>
      <c r="N511" s="8"/>
    </row>
    <row r="512" spans="1:14" x14ac:dyDescent="0.3">
      <c r="A512" s="12">
        <v>35469</v>
      </c>
      <c r="B512" s="6">
        <v>0</v>
      </c>
      <c r="C512" s="7"/>
      <c r="D512" s="6">
        <v>6866</v>
      </c>
      <c r="E512" s="7">
        <v>2</v>
      </c>
      <c r="F512" s="7" t="str">
        <f t="shared" si="28"/>
        <v>Y</v>
      </c>
      <c r="G512" s="6">
        <f t="shared" si="29"/>
        <v>343.3</v>
      </c>
      <c r="H512" s="6">
        <f t="shared" si="30"/>
        <v>0</v>
      </c>
      <c r="I512" s="7">
        <v>12</v>
      </c>
      <c r="J512" s="7"/>
      <c r="K512" s="6">
        <f t="shared" si="31"/>
        <v>0</v>
      </c>
      <c r="L512" s="6">
        <f>'Invoice Data'!$B512+'Invoice Data'!$D512-'Invoice Data'!$G512-'Invoice Data'!$K512+'Invoice Data'!$H512</f>
        <v>6522.7</v>
      </c>
      <c r="M512" s="6" t="e">
        <f>VLOOKUP('Invoice Data'!$A512,BPay!$B$4:$D$10,3,0)</f>
        <v>#N/A</v>
      </c>
      <c r="N512" s="8"/>
    </row>
    <row r="513" spans="1:14" x14ac:dyDescent="0.3">
      <c r="A513" s="12">
        <v>35478</v>
      </c>
      <c r="B513" s="6">
        <v>0</v>
      </c>
      <c r="C513" s="7"/>
      <c r="D513" s="6">
        <v>8705</v>
      </c>
      <c r="E513" s="7">
        <v>2</v>
      </c>
      <c r="F513" s="7" t="str">
        <f t="shared" si="28"/>
        <v>Y</v>
      </c>
      <c r="G513" s="6">
        <f t="shared" si="29"/>
        <v>435.25</v>
      </c>
      <c r="H513" s="6">
        <f t="shared" si="30"/>
        <v>0</v>
      </c>
      <c r="I513" s="7">
        <v>13</v>
      </c>
      <c r="J513" s="7"/>
      <c r="K513" s="6">
        <f t="shared" si="31"/>
        <v>0</v>
      </c>
      <c r="L513" s="6">
        <f>'Invoice Data'!$B513+'Invoice Data'!$D513-'Invoice Data'!$G513-'Invoice Data'!$K513+'Invoice Data'!$H513</f>
        <v>8269.75</v>
      </c>
      <c r="M513" s="6" t="e">
        <f>VLOOKUP('Invoice Data'!$A513,BPay!$B$4:$D$10,3,0)</f>
        <v>#N/A</v>
      </c>
      <c r="N513" s="8"/>
    </row>
    <row r="514" spans="1:14" x14ac:dyDescent="0.3">
      <c r="A514" s="12">
        <v>35487</v>
      </c>
      <c r="B514" s="6">
        <v>0</v>
      </c>
      <c r="C514" s="7"/>
      <c r="D514" s="6">
        <v>4046</v>
      </c>
      <c r="E514" s="7">
        <v>1</v>
      </c>
      <c r="F514" s="7" t="str">
        <f t="shared" si="28"/>
        <v/>
      </c>
      <c r="G514" s="6">
        <f t="shared" si="29"/>
        <v>0</v>
      </c>
      <c r="H514" s="6">
        <f t="shared" si="30"/>
        <v>0</v>
      </c>
      <c r="I514" s="7">
        <v>0</v>
      </c>
      <c r="J514" s="7"/>
      <c r="K514" s="6">
        <f t="shared" si="31"/>
        <v>0</v>
      </c>
      <c r="L514" s="6">
        <f>'Invoice Data'!$B514+'Invoice Data'!$D514-'Invoice Data'!$G514-'Invoice Data'!$K514+'Invoice Data'!$H514</f>
        <v>4046</v>
      </c>
      <c r="M514" s="6" t="e">
        <f>VLOOKUP('Invoice Data'!$A514,BPay!$B$4:$D$10,3,0)</f>
        <v>#N/A</v>
      </c>
      <c r="N514" s="8"/>
    </row>
    <row r="515" spans="1:14" x14ac:dyDescent="0.3">
      <c r="A515" s="12">
        <v>35496</v>
      </c>
      <c r="B515" s="6">
        <v>0</v>
      </c>
      <c r="C515" s="7"/>
      <c r="D515" s="6">
        <v>9798</v>
      </c>
      <c r="E515" s="7">
        <v>2</v>
      </c>
      <c r="F515" s="7" t="str">
        <f t="shared" si="28"/>
        <v>Y</v>
      </c>
      <c r="G515" s="6">
        <f t="shared" si="29"/>
        <v>489.90000000000003</v>
      </c>
      <c r="H515" s="6">
        <f t="shared" si="30"/>
        <v>0</v>
      </c>
      <c r="I515" s="7">
        <v>8</v>
      </c>
      <c r="J515" s="7"/>
      <c r="K515" s="6">
        <f t="shared" si="31"/>
        <v>0</v>
      </c>
      <c r="L515" s="6">
        <f>'Invoice Data'!$B515+'Invoice Data'!$D515-'Invoice Data'!$G515-'Invoice Data'!$K515+'Invoice Data'!$H515</f>
        <v>9308.1</v>
      </c>
      <c r="M515" s="6" t="e">
        <f>VLOOKUP('Invoice Data'!$A515,BPay!$B$4:$D$10,3,0)</f>
        <v>#N/A</v>
      </c>
      <c r="N515" s="8"/>
    </row>
    <row r="516" spans="1:14" x14ac:dyDescent="0.3">
      <c r="A516" s="12">
        <v>35502</v>
      </c>
      <c r="B516" s="6">
        <v>0</v>
      </c>
      <c r="C516" s="7"/>
      <c r="D516" s="6">
        <v>6567</v>
      </c>
      <c r="E516" s="7">
        <v>2</v>
      </c>
      <c r="F516" s="7" t="str">
        <f t="shared" si="28"/>
        <v>Y</v>
      </c>
      <c r="G516" s="6">
        <f t="shared" si="29"/>
        <v>328.35</v>
      </c>
      <c r="H516" s="6">
        <f t="shared" si="30"/>
        <v>0</v>
      </c>
      <c r="I516" s="7">
        <v>9</v>
      </c>
      <c r="J516" s="7"/>
      <c r="K516" s="6">
        <f t="shared" si="31"/>
        <v>0</v>
      </c>
      <c r="L516" s="6">
        <f>'Invoice Data'!$B516+'Invoice Data'!$D516-'Invoice Data'!$G516-'Invoice Data'!$K516+'Invoice Data'!$H516</f>
        <v>6238.65</v>
      </c>
      <c r="M516" s="6" t="e">
        <f>VLOOKUP('Invoice Data'!$A516,BPay!$B$4:$D$10,3,0)</f>
        <v>#N/A</v>
      </c>
      <c r="N516" s="8"/>
    </row>
    <row r="517" spans="1:14" x14ac:dyDescent="0.3">
      <c r="A517" s="12">
        <v>35511</v>
      </c>
      <c r="B517" s="6">
        <v>0</v>
      </c>
      <c r="C517" s="7"/>
      <c r="D517" s="6">
        <v>3701</v>
      </c>
      <c r="E517" s="7">
        <v>1</v>
      </c>
      <c r="F517" s="7" t="str">
        <f t="shared" si="28"/>
        <v/>
      </c>
      <c r="G517" s="6">
        <f t="shared" si="29"/>
        <v>0</v>
      </c>
      <c r="H517" s="6">
        <f t="shared" si="30"/>
        <v>0</v>
      </c>
      <c r="I517" s="7">
        <v>2</v>
      </c>
      <c r="J517" s="7"/>
      <c r="K517" s="6">
        <f t="shared" si="31"/>
        <v>0</v>
      </c>
      <c r="L517" s="6">
        <f>'Invoice Data'!$B517+'Invoice Data'!$D517-'Invoice Data'!$G517-'Invoice Data'!$K517+'Invoice Data'!$H517</f>
        <v>3701</v>
      </c>
      <c r="M517" s="6" t="e">
        <f>VLOOKUP('Invoice Data'!$A517,BPay!$B$4:$D$10,3,0)</f>
        <v>#N/A</v>
      </c>
      <c r="N517" s="8"/>
    </row>
    <row r="518" spans="1:14" x14ac:dyDescent="0.3">
      <c r="A518" s="12">
        <v>35520</v>
      </c>
      <c r="B518" s="6">
        <v>0</v>
      </c>
      <c r="C518" s="7"/>
      <c r="D518" s="6">
        <v>8012</v>
      </c>
      <c r="E518" s="7">
        <v>2</v>
      </c>
      <c r="F518" s="7" t="str">
        <f t="shared" si="28"/>
        <v>Y</v>
      </c>
      <c r="G518" s="6">
        <f t="shared" si="29"/>
        <v>400.6</v>
      </c>
      <c r="H518" s="6">
        <f t="shared" si="30"/>
        <v>0</v>
      </c>
      <c r="I518" s="7">
        <v>0</v>
      </c>
      <c r="J518" s="7"/>
      <c r="K518" s="6">
        <f t="shared" si="31"/>
        <v>0</v>
      </c>
      <c r="L518" s="6">
        <f>'Invoice Data'!$B518+'Invoice Data'!$D518-'Invoice Data'!$G518-'Invoice Data'!$K518+'Invoice Data'!$H518</f>
        <v>7611.4</v>
      </c>
      <c r="M518" s="6" t="e">
        <f>VLOOKUP('Invoice Data'!$A518,BPay!$B$4:$D$10,3,0)</f>
        <v>#N/A</v>
      </c>
      <c r="N518" s="8"/>
    </row>
    <row r="519" spans="1:14" x14ac:dyDescent="0.3">
      <c r="A519" s="12">
        <v>35539</v>
      </c>
      <c r="B519" s="6">
        <v>0</v>
      </c>
      <c r="C519" s="7"/>
      <c r="D519" s="6">
        <v>8859</v>
      </c>
      <c r="E519" s="7">
        <v>2</v>
      </c>
      <c r="F519" s="7" t="str">
        <f t="shared" si="28"/>
        <v>Y</v>
      </c>
      <c r="G519" s="6">
        <f t="shared" si="29"/>
        <v>442.95000000000005</v>
      </c>
      <c r="H519" s="6">
        <f t="shared" si="30"/>
        <v>0</v>
      </c>
      <c r="I519" s="7">
        <v>11</v>
      </c>
      <c r="J519" s="7"/>
      <c r="K519" s="6">
        <f t="shared" si="31"/>
        <v>0</v>
      </c>
      <c r="L519" s="6">
        <f>'Invoice Data'!$B519+'Invoice Data'!$D519-'Invoice Data'!$G519-'Invoice Data'!$K519+'Invoice Data'!$H519</f>
        <v>8416.0499999999993</v>
      </c>
      <c r="M519" s="6" t="e">
        <f>VLOOKUP('Invoice Data'!$A519,BPay!$B$4:$D$10,3,0)</f>
        <v>#N/A</v>
      </c>
      <c r="N519" s="8"/>
    </row>
    <row r="520" spans="1:14" x14ac:dyDescent="0.3">
      <c r="A520" s="12">
        <v>35548</v>
      </c>
      <c r="B520" s="6">
        <v>0</v>
      </c>
      <c r="C520" s="7"/>
      <c r="D520" s="6">
        <v>7598</v>
      </c>
      <c r="E520" s="7">
        <v>2</v>
      </c>
      <c r="F520" s="7" t="str">
        <f t="shared" si="28"/>
        <v>Y</v>
      </c>
      <c r="G520" s="6">
        <f t="shared" si="29"/>
        <v>379.90000000000003</v>
      </c>
      <c r="H520" s="6">
        <f t="shared" si="30"/>
        <v>0</v>
      </c>
      <c r="I520" s="7">
        <v>11</v>
      </c>
      <c r="J520" s="7"/>
      <c r="K520" s="6">
        <f t="shared" si="31"/>
        <v>0</v>
      </c>
      <c r="L520" s="6">
        <f>'Invoice Data'!$B520+'Invoice Data'!$D520-'Invoice Data'!$G520-'Invoice Data'!$K520+'Invoice Data'!$H520</f>
        <v>7218.1</v>
      </c>
      <c r="M520" s="6" t="e">
        <f>VLOOKUP('Invoice Data'!$A520,BPay!$B$4:$D$10,3,0)</f>
        <v>#N/A</v>
      </c>
      <c r="N520" s="8"/>
    </row>
    <row r="521" spans="1:14" x14ac:dyDescent="0.3">
      <c r="A521" s="12">
        <v>35557</v>
      </c>
      <c r="B521" s="6">
        <v>0</v>
      </c>
      <c r="C521" s="7"/>
      <c r="D521" s="6">
        <v>7707</v>
      </c>
      <c r="E521" s="7">
        <v>2</v>
      </c>
      <c r="F521" s="7" t="str">
        <f t="shared" ref="F521:F584" si="32">IF(E521&gt;=2,"Y", "")</f>
        <v>Y</v>
      </c>
      <c r="G521" s="6">
        <f t="shared" ref="G521:G584" si="33">IF(F521="y",D521*5%,0)</f>
        <v>385.35</v>
      </c>
      <c r="H521" s="6">
        <f t="shared" ref="H521:H584" si="34">IF(AND(B521&gt;0,C521&lt;&gt;"Y"),B521*10%,0)</f>
        <v>0</v>
      </c>
      <c r="I521" s="7">
        <v>15</v>
      </c>
      <c r="J521" s="7"/>
      <c r="K521" s="6">
        <f t="shared" ref="K521:K584" si="35">IF(OR(I521&gt;=16,J521),250,0)</f>
        <v>0</v>
      </c>
      <c r="L521" s="6">
        <f>'Invoice Data'!$B521+'Invoice Data'!$D521-'Invoice Data'!$G521-'Invoice Data'!$K521+'Invoice Data'!$H521</f>
        <v>7321.65</v>
      </c>
      <c r="M521" s="6" t="e">
        <f>VLOOKUP('Invoice Data'!$A521,BPay!$B$4:$D$10,3,0)</f>
        <v>#N/A</v>
      </c>
      <c r="N521" s="8"/>
    </row>
    <row r="522" spans="1:14" x14ac:dyDescent="0.3">
      <c r="A522" s="12">
        <v>35566</v>
      </c>
      <c r="B522" s="6">
        <v>0</v>
      </c>
      <c r="C522" s="7"/>
      <c r="D522" s="6">
        <v>9684</v>
      </c>
      <c r="E522" s="7">
        <v>2</v>
      </c>
      <c r="F522" s="7" t="str">
        <f t="shared" si="32"/>
        <v>Y</v>
      </c>
      <c r="G522" s="6">
        <f t="shared" si="33"/>
        <v>484.20000000000005</v>
      </c>
      <c r="H522" s="6">
        <f t="shared" si="34"/>
        <v>0</v>
      </c>
      <c r="I522" s="7">
        <v>15</v>
      </c>
      <c r="J522" s="7"/>
      <c r="K522" s="6">
        <f t="shared" si="35"/>
        <v>0</v>
      </c>
      <c r="L522" s="6">
        <f>'Invoice Data'!$B522+'Invoice Data'!$D522-'Invoice Data'!$G522-'Invoice Data'!$K522+'Invoice Data'!$H522</f>
        <v>9199.7999999999993</v>
      </c>
      <c r="M522" s="6" t="e">
        <f>VLOOKUP('Invoice Data'!$A522,BPay!$B$4:$D$10,3,0)</f>
        <v>#N/A</v>
      </c>
      <c r="N522" s="8"/>
    </row>
    <row r="523" spans="1:14" x14ac:dyDescent="0.3">
      <c r="A523" s="12">
        <v>35575</v>
      </c>
      <c r="B523" s="6">
        <v>0</v>
      </c>
      <c r="C523" s="7"/>
      <c r="D523" s="6">
        <v>5304</v>
      </c>
      <c r="E523" s="7">
        <v>1</v>
      </c>
      <c r="F523" s="7" t="str">
        <f t="shared" si="32"/>
        <v/>
      </c>
      <c r="G523" s="6">
        <f t="shared" si="33"/>
        <v>0</v>
      </c>
      <c r="H523" s="6">
        <f t="shared" si="34"/>
        <v>0</v>
      </c>
      <c r="I523" s="7">
        <v>16</v>
      </c>
      <c r="J523" s="7"/>
      <c r="K523" s="6">
        <f t="shared" si="35"/>
        <v>250</v>
      </c>
      <c r="L523" s="6">
        <f>'Invoice Data'!$B523+'Invoice Data'!$D523-'Invoice Data'!$G523-'Invoice Data'!$K523+'Invoice Data'!$H523</f>
        <v>5054</v>
      </c>
      <c r="M523" s="6" t="e">
        <f>VLOOKUP('Invoice Data'!$A523,BPay!$B$4:$D$10,3,0)</f>
        <v>#N/A</v>
      </c>
      <c r="N523" s="8"/>
    </row>
    <row r="524" spans="1:14" x14ac:dyDescent="0.3">
      <c r="A524" s="12">
        <v>35584</v>
      </c>
      <c r="B524" s="6">
        <v>0</v>
      </c>
      <c r="C524" s="7"/>
      <c r="D524" s="6">
        <v>7161</v>
      </c>
      <c r="E524" s="7">
        <v>2</v>
      </c>
      <c r="F524" s="7" t="str">
        <f t="shared" si="32"/>
        <v>Y</v>
      </c>
      <c r="G524" s="6">
        <f t="shared" si="33"/>
        <v>358.05</v>
      </c>
      <c r="H524" s="6">
        <f t="shared" si="34"/>
        <v>0</v>
      </c>
      <c r="I524" s="7">
        <v>13</v>
      </c>
      <c r="J524" s="7"/>
      <c r="K524" s="6">
        <f t="shared" si="35"/>
        <v>0</v>
      </c>
      <c r="L524" s="6">
        <f>'Invoice Data'!$B524+'Invoice Data'!$D524-'Invoice Data'!$G524-'Invoice Data'!$K524+'Invoice Data'!$H524</f>
        <v>6802.95</v>
      </c>
      <c r="M524" s="6" t="e">
        <f>VLOOKUP('Invoice Data'!$A524,BPay!$B$4:$D$10,3,0)</f>
        <v>#N/A</v>
      </c>
      <c r="N524" s="8"/>
    </row>
    <row r="525" spans="1:14" x14ac:dyDescent="0.3">
      <c r="A525" s="12">
        <v>35593</v>
      </c>
      <c r="B525" s="6">
        <v>0</v>
      </c>
      <c r="C525" s="7"/>
      <c r="D525" s="6">
        <v>8626</v>
      </c>
      <c r="E525" s="7">
        <v>2</v>
      </c>
      <c r="F525" s="7" t="str">
        <f t="shared" si="32"/>
        <v>Y</v>
      </c>
      <c r="G525" s="6">
        <f t="shared" si="33"/>
        <v>431.3</v>
      </c>
      <c r="H525" s="6">
        <f t="shared" si="34"/>
        <v>0</v>
      </c>
      <c r="I525" s="7">
        <v>8</v>
      </c>
      <c r="J525" s="7"/>
      <c r="K525" s="6">
        <f t="shared" si="35"/>
        <v>0</v>
      </c>
      <c r="L525" s="6">
        <f>'Invoice Data'!$B525+'Invoice Data'!$D525-'Invoice Data'!$G525-'Invoice Data'!$K525+'Invoice Data'!$H525</f>
        <v>8194.7000000000007</v>
      </c>
      <c r="M525" s="6" t="e">
        <f>VLOOKUP('Invoice Data'!$A525,BPay!$B$4:$D$10,3,0)</f>
        <v>#N/A</v>
      </c>
      <c r="N525" s="8"/>
    </row>
    <row r="526" spans="1:14" x14ac:dyDescent="0.3">
      <c r="A526" s="12">
        <v>35600</v>
      </c>
      <c r="B526" s="6">
        <v>0</v>
      </c>
      <c r="C526" s="7"/>
      <c r="D526" s="6">
        <v>9925</v>
      </c>
      <c r="E526" s="7">
        <v>2</v>
      </c>
      <c r="F526" s="7" t="str">
        <f t="shared" si="32"/>
        <v>Y</v>
      </c>
      <c r="G526" s="6">
        <f t="shared" si="33"/>
        <v>496.25</v>
      </c>
      <c r="H526" s="6">
        <f t="shared" si="34"/>
        <v>0</v>
      </c>
      <c r="I526" s="7">
        <v>8</v>
      </c>
      <c r="J526" s="7"/>
      <c r="K526" s="6">
        <f t="shared" si="35"/>
        <v>0</v>
      </c>
      <c r="L526" s="6">
        <f>'Invoice Data'!$B526+'Invoice Data'!$D526-'Invoice Data'!$G526-'Invoice Data'!$K526+'Invoice Data'!$H526</f>
        <v>9428.75</v>
      </c>
      <c r="M526" s="6" t="e">
        <f>VLOOKUP('Invoice Data'!$A526,BPay!$B$4:$D$10,3,0)</f>
        <v>#N/A</v>
      </c>
      <c r="N526" s="8"/>
    </row>
    <row r="527" spans="1:14" x14ac:dyDescent="0.3">
      <c r="A527" s="12">
        <v>35619</v>
      </c>
      <c r="B527" s="6">
        <v>0</v>
      </c>
      <c r="C527" s="7"/>
      <c r="D527" s="6">
        <v>9116</v>
      </c>
      <c r="E527" s="7">
        <v>2</v>
      </c>
      <c r="F527" s="7" t="str">
        <f t="shared" si="32"/>
        <v>Y</v>
      </c>
      <c r="G527" s="6">
        <f t="shared" si="33"/>
        <v>455.8</v>
      </c>
      <c r="H527" s="6">
        <f t="shared" si="34"/>
        <v>0</v>
      </c>
      <c r="I527" s="7">
        <v>12</v>
      </c>
      <c r="J527" s="7"/>
      <c r="K527" s="6">
        <f t="shared" si="35"/>
        <v>0</v>
      </c>
      <c r="L527" s="6">
        <f>'Invoice Data'!$B527+'Invoice Data'!$D527-'Invoice Data'!$G527-'Invoice Data'!$K527+'Invoice Data'!$H527</f>
        <v>8660.2000000000007</v>
      </c>
      <c r="M527" s="6" t="e">
        <f>VLOOKUP('Invoice Data'!$A527,BPay!$B$4:$D$10,3,0)</f>
        <v>#N/A</v>
      </c>
      <c r="N527" s="8"/>
    </row>
    <row r="528" spans="1:14" x14ac:dyDescent="0.3">
      <c r="A528" s="12">
        <v>35628</v>
      </c>
      <c r="B528" s="6">
        <v>0</v>
      </c>
      <c r="C528" s="7"/>
      <c r="D528" s="6">
        <v>4556</v>
      </c>
      <c r="E528" s="7">
        <v>1</v>
      </c>
      <c r="F528" s="7" t="str">
        <f t="shared" si="32"/>
        <v/>
      </c>
      <c r="G528" s="6">
        <f t="shared" si="33"/>
        <v>0</v>
      </c>
      <c r="H528" s="6">
        <f t="shared" si="34"/>
        <v>0</v>
      </c>
      <c r="I528" s="7">
        <v>7</v>
      </c>
      <c r="J528" s="7"/>
      <c r="K528" s="6">
        <f t="shared" si="35"/>
        <v>0</v>
      </c>
      <c r="L528" s="6">
        <f>'Invoice Data'!$B528+'Invoice Data'!$D528-'Invoice Data'!$G528-'Invoice Data'!$K528+'Invoice Data'!$H528</f>
        <v>4556</v>
      </c>
      <c r="M528" s="6" t="e">
        <f>VLOOKUP('Invoice Data'!$A528,BPay!$B$4:$D$10,3,0)</f>
        <v>#N/A</v>
      </c>
      <c r="N528" s="8"/>
    </row>
    <row r="529" spans="1:14" x14ac:dyDescent="0.3">
      <c r="A529" s="12">
        <v>35637</v>
      </c>
      <c r="B529" s="6">
        <v>0</v>
      </c>
      <c r="C529" s="7"/>
      <c r="D529" s="6">
        <v>4074</v>
      </c>
      <c r="E529" s="7">
        <v>1</v>
      </c>
      <c r="F529" s="7" t="str">
        <f t="shared" si="32"/>
        <v/>
      </c>
      <c r="G529" s="6">
        <f t="shared" si="33"/>
        <v>0</v>
      </c>
      <c r="H529" s="6">
        <f t="shared" si="34"/>
        <v>0</v>
      </c>
      <c r="I529" s="7">
        <v>0</v>
      </c>
      <c r="J529" s="7" t="b">
        <v>1</v>
      </c>
      <c r="K529" s="6">
        <f t="shared" si="35"/>
        <v>250</v>
      </c>
      <c r="L529" s="6">
        <f>'Invoice Data'!$B529+'Invoice Data'!$D529-'Invoice Data'!$G529-'Invoice Data'!$K529+'Invoice Data'!$H529</f>
        <v>3824</v>
      </c>
      <c r="M529" s="6" t="e">
        <f>VLOOKUP('Invoice Data'!$A529,BPay!$B$4:$D$10,3,0)</f>
        <v>#N/A</v>
      </c>
      <c r="N529" s="8"/>
    </row>
    <row r="530" spans="1:14" x14ac:dyDescent="0.3">
      <c r="A530" s="12">
        <v>35646</v>
      </c>
      <c r="B530" s="6">
        <v>0</v>
      </c>
      <c r="C530" s="7"/>
      <c r="D530" s="6">
        <v>7245</v>
      </c>
      <c r="E530" s="7">
        <v>2</v>
      </c>
      <c r="F530" s="7" t="str">
        <f t="shared" si="32"/>
        <v>Y</v>
      </c>
      <c r="G530" s="6">
        <f t="shared" si="33"/>
        <v>362.25</v>
      </c>
      <c r="H530" s="6">
        <f t="shared" si="34"/>
        <v>0</v>
      </c>
      <c r="I530" s="7">
        <v>14</v>
      </c>
      <c r="J530" s="7"/>
      <c r="K530" s="6">
        <f t="shared" si="35"/>
        <v>0</v>
      </c>
      <c r="L530" s="6">
        <f>'Invoice Data'!$B530+'Invoice Data'!$D530-'Invoice Data'!$G530-'Invoice Data'!$K530+'Invoice Data'!$H530</f>
        <v>6882.75</v>
      </c>
      <c r="M530" s="6" t="e">
        <f>VLOOKUP('Invoice Data'!$A530,BPay!$B$4:$D$10,3,0)</f>
        <v>#N/A</v>
      </c>
      <c r="N530" s="8"/>
    </row>
    <row r="531" spans="1:14" x14ac:dyDescent="0.3">
      <c r="A531" s="12">
        <v>35655</v>
      </c>
      <c r="B531" s="6">
        <v>0</v>
      </c>
      <c r="C531" s="7"/>
      <c r="D531" s="6">
        <v>8971</v>
      </c>
      <c r="E531" s="7">
        <v>2</v>
      </c>
      <c r="F531" s="7" t="str">
        <f t="shared" si="32"/>
        <v>Y</v>
      </c>
      <c r="G531" s="6">
        <f t="shared" si="33"/>
        <v>448.55</v>
      </c>
      <c r="H531" s="6">
        <f t="shared" si="34"/>
        <v>0</v>
      </c>
      <c r="I531" s="7">
        <v>10</v>
      </c>
      <c r="J531" s="7"/>
      <c r="K531" s="6">
        <f t="shared" si="35"/>
        <v>0</v>
      </c>
      <c r="L531" s="6">
        <f>'Invoice Data'!$B531+'Invoice Data'!$D531-'Invoice Data'!$G531-'Invoice Data'!$K531+'Invoice Data'!$H531</f>
        <v>8522.4500000000007</v>
      </c>
      <c r="M531" s="6" t="e">
        <f>VLOOKUP('Invoice Data'!$A531,BPay!$B$4:$D$10,3,0)</f>
        <v>#N/A</v>
      </c>
      <c r="N531" s="8"/>
    </row>
    <row r="532" spans="1:14" x14ac:dyDescent="0.3">
      <c r="A532" s="12">
        <v>35664</v>
      </c>
      <c r="B532" s="6">
        <v>0</v>
      </c>
      <c r="C532" s="7"/>
      <c r="D532" s="6">
        <v>3676</v>
      </c>
      <c r="E532" s="7">
        <v>1</v>
      </c>
      <c r="F532" s="7" t="str">
        <f t="shared" si="32"/>
        <v/>
      </c>
      <c r="G532" s="6">
        <f t="shared" si="33"/>
        <v>0</v>
      </c>
      <c r="H532" s="6">
        <f t="shared" si="34"/>
        <v>0</v>
      </c>
      <c r="I532" s="7">
        <v>4</v>
      </c>
      <c r="J532" s="7"/>
      <c r="K532" s="6">
        <f t="shared" si="35"/>
        <v>0</v>
      </c>
      <c r="L532" s="6">
        <f>'Invoice Data'!$B532+'Invoice Data'!$D532-'Invoice Data'!$G532-'Invoice Data'!$K532+'Invoice Data'!$H532</f>
        <v>3676</v>
      </c>
      <c r="M532" s="6" t="e">
        <f>VLOOKUP('Invoice Data'!$A532,BPay!$B$4:$D$10,3,0)</f>
        <v>#N/A</v>
      </c>
      <c r="N532" s="8"/>
    </row>
    <row r="533" spans="1:14" x14ac:dyDescent="0.3">
      <c r="A533" s="12">
        <v>35673</v>
      </c>
      <c r="B533" s="6">
        <v>0</v>
      </c>
      <c r="C533" s="7"/>
      <c r="D533" s="6">
        <v>4166</v>
      </c>
      <c r="E533" s="7">
        <v>1</v>
      </c>
      <c r="F533" s="7" t="str">
        <f t="shared" si="32"/>
        <v/>
      </c>
      <c r="G533" s="6">
        <f t="shared" si="33"/>
        <v>0</v>
      </c>
      <c r="H533" s="6">
        <f t="shared" si="34"/>
        <v>0</v>
      </c>
      <c r="I533" s="7">
        <v>9</v>
      </c>
      <c r="J533" s="7"/>
      <c r="K533" s="6">
        <f t="shared" si="35"/>
        <v>0</v>
      </c>
      <c r="L533" s="6">
        <f>'Invoice Data'!$B533+'Invoice Data'!$D533-'Invoice Data'!$G533-'Invoice Data'!$K533+'Invoice Data'!$H533</f>
        <v>4166</v>
      </c>
      <c r="M533" s="6" t="e">
        <f>VLOOKUP('Invoice Data'!$A533,BPay!$B$4:$D$10,3,0)</f>
        <v>#N/A</v>
      </c>
      <c r="N533" s="8"/>
    </row>
    <row r="534" spans="1:14" x14ac:dyDescent="0.3">
      <c r="A534" s="12">
        <v>35682</v>
      </c>
      <c r="B534" s="6">
        <v>0</v>
      </c>
      <c r="C534" s="7"/>
      <c r="D534" s="6">
        <v>8439</v>
      </c>
      <c r="E534" s="7">
        <v>2</v>
      </c>
      <c r="F534" s="7" t="str">
        <f t="shared" si="32"/>
        <v>Y</v>
      </c>
      <c r="G534" s="6">
        <f t="shared" si="33"/>
        <v>421.95000000000005</v>
      </c>
      <c r="H534" s="6">
        <f t="shared" si="34"/>
        <v>0</v>
      </c>
      <c r="I534" s="7">
        <v>5</v>
      </c>
      <c r="J534" s="7"/>
      <c r="K534" s="6">
        <f t="shared" si="35"/>
        <v>0</v>
      </c>
      <c r="L534" s="6">
        <f>'Invoice Data'!$B534+'Invoice Data'!$D534-'Invoice Data'!$G534-'Invoice Data'!$K534+'Invoice Data'!$H534</f>
        <v>8017.05</v>
      </c>
      <c r="M534" s="6" t="e">
        <f>VLOOKUP('Invoice Data'!$A534,BPay!$B$4:$D$10,3,0)</f>
        <v>#N/A</v>
      </c>
      <c r="N534" s="8"/>
    </row>
    <row r="535" spans="1:14" x14ac:dyDescent="0.3">
      <c r="A535" s="12">
        <v>35691</v>
      </c>
      <c r="B535" s="6">
        <v>0</v>
      </c>
      <c r="C535" s="7"/>
      <c r="D535" s="6">
        <v>10335</v>
      </c>
      <c r="E535" s="7">
        <v>2</v>
      </c>
      <c r="F535" s="7" t="str">
        <f t="shared" si="32"/>
        <v>Y</v>
      </c>
      <c r="G535" s="6">
        <f t="shared" si="33"/>
        <v>516.75</v>
      </c>
      <c r="H535" s="6">
        <f t="shared" si="34"/>
        <v>0</v>
      </c>
      <c r="I535" s="7">
        <v>12</v>
      </c>
      <c r="J535" s="7"/>
      <c r="K535" s="6">
        <f t="shared" si="35"/>
        <v>0</v>
      </c>
      <c r="L535" s="6">
        <f>'Invoice Data'!$B535+'Invoice Data'!$D535-'Invoice Data'!$G535-'Invoice Data'!$K535+'Invoice Data'!$H535</f>
        <v>9818.25</v>
      </c>
      <c r="M535" s="6" t="e">
        <f>VLOOKUP('Invoice Data'!$A535,BPay!$B$4:$D$10,3,0)</f>
        <v>#N/A</v>
      </c>
      <c r="N535" s="8"/>
    </row>
    <row r="536" spans="1:14" x14ac:dyDescent="0.3">
      <c r="A536" s="12">
        <v>35708</v>
      </c>
      <c r="B536" s="6">
        <v>0</v>
      </c>
      <c r="C536" s="7"/>
      <c r="D536" s="6">
        <v>7430</v>
      </c>
      <c r="E536" s="7">
        <v>2</v>
      </c>
      <c r="F536" s="7" t="str">
        <f t="shared" si="32"/>
        <v>Y</v>
      </c>
      <c r="G536" s="6">
        <f t="shared" si="33"/>
        <v>371.5</v>
      </c>
      <c r="H536" s="6">
        <f t="shared" si="34"/>
        <v>0</v>
      </c>
      <c r="I536" s="7">
        <v>6</v>
      </c>
      <c r="J536" s="7"/>
      <c r="K536" s="6">
        <f t="shared" si="35"/>
        <v>0</v>
      </c>
      <c r="L536" s="6">
        <f>'Invoice Data'!$B536+'Invoice Data'!$D536-'Invoice Data'!$G536-'Invoice Data'!$K536+'Invoice Data'!$H536</f>
        <v>7058.5</v>
      </c>
      <c r="M536" s="6" t="e">
        <f>VLOOKUP('Invoice Data'!$A536,BPay!$B$4:$D$10,3,0)</f>
        <v>#N/A</v>
      </c>
      <c r="N536" s="8"/>
    </row>
    <row r="537" spans="1:14" x14ac:dyDescent="0.3">
      <c r="A537" s="12">
        <v>35717</v>
      </c>
      <c r="B537" s="6">
        <v>-162</v>
      </c>
      <c r="C537" s="7"/>
      <c r="D537" s="6">
        <v>5113</v>
      </c>
      <c r="E537" s="7">
        <v>1</v>
      </c>
      <c r="F537" s="7" t="str">
        <f t="shared" si="32"/>
        <v/>
      </c>
      <c r="G537" s="6">
        <f t="shared" si="33"/>
        <v>0</v>
      </c>
      <c r="H537" s="6">
        <f t="shared" si="34"/>
        <v>0</v>
      </c>
      <c r="I537" s="7">
        <v>7</v>
      </c>
      <c r="J537" s="7"/>
      <c r="K537" s="6">
        <f t="shared" si="35"/>
        <v>0</v>
      </c>
      <c r="L537" s="6">
        <f>'Invoice Data'!$B537+'Invoice Data'!$D537-'Invoice Data'!$G537-'Invoice Data'!$K537+'Invoice Data'!$H537</f>
        <v>4951</v>
      </c>
      <c r="M537" s="6" t="e">
        <f>VLOOKUP('Invoice Data'!$A537,BPay!$B$4:$D$10,3,0)</f>
        <v>#N/A</v>
      </c>
      <c r="N537" s="8"/>
    </row>
    <row r="538" spans="1:14" x14ac:dyDescent="0.3">
      <c r="A538" s="12">
        <v>35726</v>
      </c>
      <c r="B538" s="6">
        <v>0</v>
      </c>
      <c r="C538" s="7"/>
      <c r="D538" s="6">
        <v>8527</v>
      </c>
      <c r="E538" s="7">
        <v>2</v>
      </c>
      <c r="F538" s="7" t="str">
        <f t="shared" si="32"/>
        <v>Y</v>
      </c>
      <c r="G538" s="6">
        <f t="shared" si="33"/>
        <v>426.35</v>
      </c>
      <c r="H538" s="6">
        <f t="shared" si="34"/>
        <v>0</v>
      </c>
      <c r="I538" s="7">
        <v>14</v>
      </c>
      <c r="J538" s="7"/>
      <c r="K538" s="6">
        <f t="shared" si="35"/>
        <v>0</v>
      </c>
      <c r="L538" s="6">
        <f>'Invoice Data'!$B538+'Invoice Data'!$D538-'Invoice Data'!$G538-'Invoice Data'!$K538+'Invoice Data'!$H538</f>
        <v>8100.65</v>
      </c>
      <c r="M538" s="6" t="e">
        <f>VLOOKUP('Invoice Data'!$A538,BPay!$B$4:$D$10,3,0)</f>
        <v>#N/A</v>
      </c>
      <c r="N538" s="8"/>
    </row>
    <row r="539" spans="1:14" x14ac:dyDescent="0.3">
      <c r="A539" s="12">
        <v>35735</v>
      </c>
      <c r="B539" s="6">
        <v>0</v>
      </c>
      <c r="C539" s="7"/>
      <c r="D539" s="6">
        <v>7431</v>
      </c>
      <c r="E539" s="7">
        <v>2</v>
      </c>
      <c r="F539" s="7" t="str">
        <f t="shared" si="32"/>
        <v>Y</v>
      </c>
      <c r="G539" s="6">
        <f t="shared" si="33"/>
        <v>371.55</v>
      </c>
      <c r="H539" s="6">
        <f t="shared" si="34"/>
        <v>0</v>
      </c>
      <c r="I539" s="7">
        <v>0</v>
      </c>
      <c r="J539" s="7" t="b">
        <v>1</v>
      </c>
      <c r="K539" s="6">
        <f t="shared" si="35"/>
        <v>250</v>
      </c>
      <c r="L539" s="6">
        <f>'Invoice Data'!$B539+'Invoice Data'!$D539-'Invoice Data'!$G539-'Invoice Data'!$K539+'Invoice Data'!$H539</f>
        <v>6809.45</v>
      </c>
      <c r="M539" s="6" t="e">
        <f>VLOOKUP('Invoice Data'!$A539,BPay!$B$4:$D$10,3,0)</f>
        <v>#N/A</v>
      </c>
      <c r="N539" s="8"/>
    </row>
    <row r="540" spans="1:14" x14ac:dyDescent="0.3">
      <c r="A540" s="12">
        <v>35744</v>
      </c>
      <c r="B540" s="6">
        <v>0</v>
      </c>
      <c r="C540" s="7"/>
      <c r="D540" s="6">
        <v>4931</v>
      </c>
      <c r="E540" s="7">
        <v>1</v>
      </c>
      <c r="F540" s="7" t="str">
        <f t="shared" si="32"/>
        <v/>
      </c>
      <c r="G540" s="6">
        <f t="shared" si="33"/>
        <v>0</v>
      </c>
      <c r="H540" s="6">
        <f t="shared" si="34"/>
        <v>0</v>
      </c>
      <c r="I540" s="7">
        <v>15</v>
      </c>
      <c r="J540" s="7"/>
      <c r="K540" s="6">
        <f t="shared" si="35"/>
        <v>0</v>
      </c>
      <c r="L540" s="6">
        <f>'Invoice Data'!$B540+'Invoice Data'!$D540-'Invoice Data'!$G540-'Invoice Data'!$K540+'Invoice Data'!$H540</f>
        <v>4931</v>
      </c>
      <c r="M540" s="6" t="e">
        <f>VLOOKUP('Invoice Data'!$A540,BPay!$B$4:$D$10,3,0)</f>
        <v>#N/A</v>
      </c>
      <c r="N540" s="8"/>
    </row>
    <row r="541" spans="1:14" x14ac:dyDescent="0.3">
      <c r="A541" s="12">
        <v>35753</v>
      </c>
      <c r="B541" s="6">
        <v>0</v>
      </c>
      <c r="C541" s="7"/>
      <c r="D541" s="6">
        <v>9918</v>
      </c>
      <c r="E541" s="7">
        <v>2</v>
      </c>
      <c r="F541" s="7" t="str">
        <f t="shared" si="32"/>
        <v>Y</v>
      </c>
      <c r="G541" s="6">
        <f t="shared" si="33"/>
        <v>495.90000000000003</v>
      </c>
      <c r="H541" s="6">
        <f t="shared" si="34"/>
        <v>0</v>
      </c>
      <c r="I541" s="7">
        <v>3</v>
      </c>
      <c r="J541" s="7"/>
      <c r="K541" s="6">
        <f t="shared" si="35"/>
        <v>0</v>
      </c>
      <c r="L541" s="6">
        <f>'Invoice Data'!$B541+'Invoice Data'!$D541-'Invoice Data'!$G541-'Invoice Data'!$K541+'Invoice Data'!$H541</f>
        <v>9422.1</v>
      </c>
      <c r="M541" s="6" t="e">
        <f>VLOOKUP('Invoice Data'!$A541,BPay!$B$4:$D$10,3,0)</f>
        <v>#N/A</v>
      </c>
      <c r="N541" s="8"/>
    </row>
    <row r="542" spans="1:14" x14ac:dyDescent="0.3">
      <c r="A542" s="12">
        <v>35762</v>
      </c>
      <c r="B542" s="6">
        <v>0</v>
      </c>
      <c r="C542" s="7"/>
      <c r="D542" s="6">
        <v>4692</v>
      </c>
      <c r="E542" s="7">
        <v>1</v>
      </c>
      <c r="F542" s="7" t="str">
        <f t="shared" si="32"/>
        <v/>
      </c>
      <c r="G542" s="6">
        <f t="shared" si="33"/>
        <v>0</v>
      </c>
      <c r="H542" s="6">
        <f t="shared" si="34"/>
        <v>0</v>
      </c>
      <c r="I542" s="7">
        <v>12</v>
      </c>
      <c r="J542" s="7"/>
      <c r="K542" s="6">
        <f t="shared" si="35"/>
        <v>0</v>
      </c>
      <c r="L542" s="6">
        <f>'Invoice Data'!$B542+'Invoice Data'!$D542-'Invoice Data'!$G542-'Invoice Data'!$K542+'Invoice Data'!$H542</f>
        <v>4692</v>
      </c>
      <c r="M542" s="6" t="e">
        <f>VLOOKUP('Invoice Data'!$A542,BPay!$B$4:$D$10,3,0)</f>
        <v>#N/A</v>
      </c>
      <c r="N542" s="8"/>
    </row>
    <row r="543" spans="1:14" x14ac:dyDescent="0.3">
      <c r="A543" s="12">
        <v>35771</v>
      </c>
      <c r="B543" s="6">
        <v>0</v>
      </c>
      <c r="C543" s="7"/>
      <c r="D543" s="6">
        <v>6712</v>
      </c>
      <c r="E543" s="7">
        <v>2</v>
      </c>
      <c r="F543" s="7" t="str">
        <f t="shared" si="32"/>
        <v>Y</v>
      </c>
      <c r="G543" s="6">
        <f t="shared" si="33"/>
        <v>335.6</v>
      </c>
      <c r="H543" s="6">
        <f t="shared" si="34"/>
        <v>0</v>
      </c>
      <c r="I543" s="7">
        <v>8</v>
      </c>
      <c r="J543" s="7"/>
      <c r="K543" s="6">
        <f t="shared" si="35"/>
        <v>0</v>
      </c>
      <c r="L543" s="6">
        <f>'Invoice Data'!$B543+'Invoice Data'!$D543-'Invoice Data'!$G543-'Invoice Data'!$K543+'Invoice Data'!$H543</f>
        <v>6376.4</v>
      </c>
      <c r="M543" s="6" t="e">
        <f>VLOOKUP('Invoice Data'!$A543,BPay!$B$4:$D$10,3,0)</f>
        <v>#N/A</v>
      </c>
      <c r="N543" s="8"/>
    </row>
    <row r="544" spans="1:14" x14ac:dyDescent="0.3">
      <c r="A544" s="12">
        <v>35780</v>
      </c>
      <c r="B544" s="6">
        <v>0</v>
      </c>
      <c r="C544" s="7"/>
      <c r="D544" s="6">
        <v>7925</v>
      </c>
      <c r="E544" s="7">
        <v>2</v>
      </c>
      <c r="F544" s="7" t="str">
        <f t="shared" si="32"/>
        <v>Y</v>
      </c>
      <c r="G544" s="6">
        <f t="shared" si="33"/>
        <v>396.25</v>
      </c>
      <c r="H544" s="6">
        <f t="shared" si="34"/>
        <v>0</v>
      </c>
      <c r="I544" s="7">
        <v>16</v>
      </c>
      <c r="J544" s="7"/>
      <c r="K544" s="6">
        <f t="shared" si="35"/>
        <v>250</v>
      </c>
      <c r="L544" s="6">
        <f>'Invoice Data'!$B544+'Invoice Data'!$D544-'Invoice Data'!$G544-'Invoice Data'!$K544+'Invoice Data'!$H544</f>
        <v>7278.75</v>
      </c>
      <c r="M544" s="6" t="e">
        <f>VLOOKUP('Invoice Data'!$A544,BPay!$B$4:$D$10,3,0)</f>
        <v>#N/A</v>
      </c>
      <c r="N544" s="8"/>
    </row>
    <row r="545" spans="1:14" x14ac:dyDescent="0.3">
      <c r="A545" s="12">
        <v>35799</v>
      </c>
      <c r="B545" s="6">
        <v>0</v>
      </c>
      <c r="C545" s="7"/>
      <c r="D545" s="6">
        <v>5627</v>
      </c>
      <c r="E545" s="7">
        <v>1</v>
      </c>
      <c r="F545" s="7" t="str">
        <f t="shared" si="32"/>
        <v/>
      </c>
      <c r="G545" s="6">
        <f t="shared" si="33"/>
        <v>0</v>
      </c>
      <c r="H545" s="6">
        <f t="shared" si="34"/>
        <v>0</v>
      </c>
      <c r="I545" s="7">
        <v>9</v>
      </c>
      <c r="J545" s="7"/>
      <c r="K545" s="6">
        <f t="shared" si="35"/>
        <v>0</v>
      </c>
      <c r="L545" s="6">
        <f>'Invoice Data'!$B545+'Invoice Data'!$D545-'Invoice Data'!$G545-'Invoice Data'!$K545+'Invoice Data'!$H545</f>
        <v>5627</v>
      </c>
      <c r="M545" s="6" t="e">
        <f>VLOOKUP('Invoice Data'!$A545,BPay!$B$4:$D$10,3,0)</f>
        <v>#N/A</v>
      </c>
      <c r="N545" s="8"/>
    </row>
    <row r="546" spans="1:14" x14ac:dyDescent="0.3">
      <c r="A546" s="12">
        <v>35806</v>
      </c>
      <c r="B546" s="6">
        <v>0</v>
      </c>
      <c r="C546" s="7"/>
      <c r="D546" s="6">
        <v>3965</v>
      </c>
      <c r="E546" s="7">
        <v>1</v>
      </c>
      <c r="F546" s="7" t="str">
        <f t="shared" si="32"/>
        <v/>
      </c>
      <c r="G546" s="6">
        <f t="shared" si="33"/>
        <v>0</v>
      </c>
      <c r="H546" s="6">
        <f t="shared" si="34"/>
        <v>0</v>
      </c>
      <c r="I546" s="7">
        <v>8</v>
      </c>
      <c r="J546" s="7"/>
      <c r="K546" s="6">
        <f t="shared" si="35"/>
        <v>0</v>
      </c>
      <c r="L546" s="6">
        <f>'Invoice Data'!$B546+'Invoice Data'!$D546-'Invoice Data'!$G546-'Invoice Data'!$K546+'Invoice Data'!$H546</f>
        <v>3965</v>
      </c>
      <c r="M546" s="6" t="e">
        <f>VLOOKUP('Invoice Data'!$A546,BPay!$B$4:$D$10,3,0)</f>
        <v>#N/A</v>
      </c>
      <c r="N546" s="8"/>
    </row>
    <row r="547" spans="1:14" x14ac:dyDescent="0.3">
      <c r="A547" s="12">
        <v>35815</v>
      </c>
      <c r="B547" s="6">
        <v>0</v>
      </c>
      <c r="C547" s="7"/>
      <c r="D547" s="6">
        <v>4792</v>
      </c>
      <c r="E547" s="7">
        <v>1</v>
      </c>
      <c r="F547" s="7" t="str">
        <f t="shared" si="32"/>
        <v/>
      </c>
      <c r="G547" s="6">
        <f t="shared" si="33"/>
        <v>0</v>
      </c>
      <c r="H547" s="6">
        <f t="shared" si="34"/>
        <v>0</v>
      </c>
      <c r="I547" s="7">
        <v>11</v>
      </c>
      <c r="J547" s="7"/>
      <c r="K547" s="6">
        <f t="shared" si="35"/>
        <v>0</v>
      </c>
      <c r="L547" s="6">
        <f>'Invoice Data'!$B547+'Invoice Data'!$D547-'Invoice Data'!$G547-'Invoice Data'!$K547+'Invoice Data'!$H547</f>
        <v>4792</v>
      </c>
      <c r="M547" s="6" t="e">
        <f>VLOOKUP('Invoice Data'!$A547,BPay!$B$4:$D$10,3,0)</f>
        <v>#N/A</v>
      </c>
      <c r="N547" s="8"/>
    </row>
    <row r="548" spans="1:14" x14ac:dyDescent="0.3">
      <c r="A548" s="12">
        <v>35824</v>
      </c>
      <c r="B548" s="6">
        <v>0</v>
      </c>
      <c r="C548" s="7"/>
      <c r="D548" s="6">
        <v>3366</v>
      </c>
      <c r="E548" s="7">
        <v>1</v>
      </c>
      <c r="F548" s="7" t="str">
        <f t="shared" si="32"/>
        <v/>
      </c>
      <c r="G548" s="6">
        <f t="shared" si="33"/>
        <v>0</v>
      </c>
      <c r="H548" s="6">
        <f t="shared" si="34"/>
        <v>0</v>
      </c>
      <c r="I548" s="7">
        <v>3</v>
      </c>
      <c r="J548" s="7"/>
      <c r="K548" s="6">
        <f t="shared" si="35"/>
        <v>0</v>
      </c>
      <c r="L548" s="6">
        <f>'Invoice Data'!$B548+'Invoice Data'!$D548-'Invoice Data'!$G548-'Invoice Data'!$K548+'Invoice Data'!$H548</f>
        <v>3366</v>
      </c>
      <c r="M548" s="6" t="e">
        <f>VLOOKUP('Invoice Data'!$A548,BPay!$B$4:$D$10,3,0)</f>
        <v>#N/A</v>
      </c>
      <c r="N548" s="8"/>
    </row>
    <row r="549" spans="1:14" x14ac:dyDescent="0.3">
      <c r="A549" s="12">
        <v>35833</v>
      </c>
      <c r="B549" s="6">
        <v>0</v>
      </c>
      <c r="C549" s="7"/>
      <c r="D549" s="6">
        <v>3462</v>
      </c>
      <c r="E549" s="7">
        <v>1</v>
      </c>
      <c r="F549" s="7" t="str">
        <f t="shared" si="32"/>
        <v/>
      </c>
      <c r="G549" s="6">
        <f t="shared" si="33"/>
        <v>0</v>
      </c>
      <c r="H549" s="6">
        <f t="shared" si="34"/>
        <v>0</v>
      </c>
      <c r="I549" s="7">
        <v>3</v>
      </c>
      <c r="J549" s="7"/>
      <c r="K549" s="6">
        <f t="shared" si="35"/>
        <v>0</v>
      </c>
      <c r="L549" s="6">
        <f>'Invoice Data'!$B549+'Invoice Data'!$D549-'Invoice Data'!$G549-'Invoice Data'!$K549+'Invoice Data'!$H549</f>
        <v>3462</v>
      </c>
      <c r="M549" s="6" t="e">
        <f>VLOOKUP('Invoice Data'!$A549,BPay!$B$4:$D$10,3,0)</f>
        <v>#N/A</v>
      </c>
      <c r="N549" s="8"/>
    </row>
    <row r="550" spans="1:14" x14ac:dyDescent="0.3">
      <c r="A550" s="12">
        <v>35842</v>
      </c>
      <c r="B550" s="6">
        <v>0</v>
      </c>
      <c r="C550" s="7"/>
      <c r="D550" s="6">
        <v>8630</v>
      </c>
      <c r="E550" s="7">
        <v>2</v>
      </c>
      <c r="F550" s="7" t="str">
        <f t="shared" si="32"/>
        <v>Y</v>
      </c>
      <c r="G550" s="6">
        <f t="shared" si="33"/>
        <v>431.5</v>
      </c>
      <c r="H550" s="6">
        <f t="shared" si="34"/>
        <v>0</v>
      </c>
      <c r="I550" s="7">
        <v>14</v>
      </c>
      <c r="J550" s="7"/>
      <c r="K550" s="6">
        <f t="shared" si="35"/>
        <v>0</v>
      </c>
      <c r="L550" s="6">
        <f>'Invoice Data'!$B550+'Invoice Data'!$D550-'Invoice Data'!$G550-'Invoice Data'!$K550+'Invoice Data'!$H550</f>
        <v>8198.5</v>
      </c>
      <c r="M550" s="6" t="e">
        <f>VLOOKUP('Invoice Data'!$A550,BPay!$B$4:$D$10,3,0)</f>
        <v>#N/A</v>
      </c>
      <c r="N550" s="8"/>
    </row>
    <row r="551" spans="1:14" x14ac:dyDescent="0.3">
      <c r="A551" s="12">
        <v>35851</v>
      </c>
      <c r="B551" s="6">
        <v>0</v>
      </c>
      <c r="C551" s="7"/>
      <c r="D551" s="6">
        <v>4102</v>
      </c>
      <c r="E551" s="7">
        <v>1</v>
      </c>
      <c r="F551" s="7" t="str">
        <f t="shared" si="32"/>
        <v/>
      </c>
      <c r="G551" s="6">
        <f t="shared" si="33"/>
        <v>0</v>
      </c>
      <c r="H551" s="6">
        <f t="shared" si="34"/>
        <v>0</v>
      </c>
      <c r="I551" s="7">
        <v>5</v>
      </c>
      <c r="J551" s="7"/>
      <c r="K551" s="6">
        <f t="shared" si="35"/>
        <v>0</v>
      </c>
      <c r="L551" s="6">
        <f>'Invoice Data'!$B551+'Invoice Data'!$D551-'Invoice Data'!$G551-'Invoice Data'!$K551+'Invoice Data'!$H551</f>
        <v>4102</v>
      </c>
      <c r="M551" s="6" t="e">
        <f>VLOOKUP('Invoice Data'!$A551,BPay!$B$4:$D$10,3,0)</f>
        <v>#N/A</v>
      </c>
      <c r="N551" s="8"/>
    </row>
    <row r="552" spans="1:14" x14ac:dyDescent="0.3">
      <c r="A552" s="12">
        <v>35860</v>
      </c>
      <c r="B552" s="6">
        <v>0</v>
      </c>
      <c r="C552" s="7"/>
      <c r="D552" s="6">
        <v>7108</v>
      </c>
      <c r="E552" s="7">
        <v>2</v>
      </c>
      <c r="F552" s="7" t="str">
        <f t="shared" si="32"/>
        <v>Y</v>
      </c>
      <c r="G552" s="6">
        <f t="shared" si="33"/>
        <v>355.40000000000003</v>
      </c>
      <c r="H552" s="6">
        <f t="shared" si="34"/>
        <v>0</v>
      </c>
      <c r="I552" s="7">
        <v>0</v>
      </c>
      <c r="J552" s="7"/>
      <c r="K552" s="6">
        <f t="shared" si="35"/>
        <v>0</v>
      </c>
      <c r="L552" s="6">
        <f>'Invoice Data'!$B552+'Invoice Data'!$D552-'Invoice Data'!$G552-'Invoice Data'!$K552+'Invoice Data'!$H552</f>
        <v>6752.6</v>
      </c>
      <c r="M552" s="6" t="e">
        <f>VLOOKUP('Invoice Data'!$A552,BPay!$B$4:$D$10,3,0)</f>
        <v>#N/A</v>
      </c>
      <c r="N552" s="8"/>
    </row>
    <row r="553" spans="1:14" x14ac:dyDescent="0.3">
      <c r="A553" s="12">
        <v>35879</v>
      </c>
      <c r="B553" s="6">
        <v>0</v>
      </c>
      <c r="C553" s="7"/>
      <c r="D553" s="6">
        <v>4515</v>
      </c>
      <c r="E553" s="7">
        <v>1</v>
      </c>
      <c r="F553" s="7" t="str">
        <f t="shared" si="32"/>
        <v/>
      </c>
      <c r="G553" s="6">
        <f t="shared" si="33"/>
        <v>0</v>
      </c>
      <c r="H553" s="6">
        <f t="shared" si="34"/>
        <v>0</v>
      </c>
      <c r="I553" s="7">
        <v>0</v>
      </c>
      <c r="J553" s="7"/>
      <c r="K553" s="6">
        <f t="shared" si="35"/>
        <v>0</v>
      </c>
      <c r="L553" s="6">
        <f>'Invoice Data'!$B553+'Invoice Data'!$D553-'Invoice Data'!$G553-'Invoice Data'!$K553+'Invoice Data'!$H553</f>
        <v>4515</v>
      </c>
      <c r="M553" s="6" t="e">
        <f>VLOOKUP('Invoice Data'!$A553,BPay!$B$4:$D$10,3,0)</f>
        <v>#N/A</v>
      </c>
      <c r="N553" s="8"/>
    </row>
    <row r="554" spans="1:14" x14ac:dyDescent="0.3">
      <c r="A554" s="12">
        <v>35888</v>
      </c>
      <c r="B554" s="6">
        <v>0</v>
      </c>
      <c r="C554" s="7"/>
      <c r="D554" s="6">
        <v>8450</v>
      </c>
      <c r="E554" s="7">
        <v>2</v>
      </c>
      <c r="F554" s="7" t="str">
        <f t="shared" si="32"/>
        <v>Y</v>
      </c>
      <c r="G554" s="6">
        <f t="shared" si="33"/>
        <v>422.5</v>
      </c>
      <c r="H554" s="6">
        <f t="shared" si="34"/>
        <v>0</v>
      </c>
      <c r="I554" s="7">
        <v>5</v>
      </c>
      <c r="J554" s="7"/>
      <c r="K554" s="6">
        <f t="shared" si="35"/>
        <v>0</v>
      </c>
      <c r="L554" s="6">
        <f>'Invoice Data'!$B554+'Invoice Data'!$D554-'Invoice Data'!$G554-'Invoice Data'!$K554+'Invoice Data'!$H554</f>
        <v>8027.5</v>
      </c>
      <c r="M554" s="6" t="e">
        <f>VLOOKUP('Invoice Data'!$A554,BPay!$B$4:$D$10,3,0)</f>
        <v>#N/A</v>
      </c>
      <c r="N554" s="8"/>
    </row>
    <row r="555" spans="1:14" x14ac:dyDescent="0.3">
      <c r="A555" s="12">
        <v>35897</v>
      </c>
      <c r="B555" s="6">
        <v>0</v>
      </c>
      <c r="C555" s="7"/>
      <c r="D555" s="6">
        <v>8342</v>
      </c>
      <c r="E555" s="7">
        <v>2</v>
      </c>
      <c r="F555" s="7" t="str">
        <f t="shared" si="32"/>
        <v>Y</v>
      </c>
      <c r="G555" s="6">
        <f t="shared" si="33"/>
        <v>417.1</v>
      </c>
      <c r="H555" s="6">
        <f t="shared" si="34"/>
        <v>0</v>
      </c>
      <c r="I555" s="7">
        <v>14</v>
      </c>
      <c r="J555" s="7"/>
      <c r="K555" s="6">
        <f t="shared" si="35"/>
        <v>0</v>
      </c>
      <c r="L555" s="6">
        <f>'Invoice Data'!$B555+'Invoice Data'!$D555-'Invoice Data'!$G555-'Invoice Data'!$K555+'Invoice Data'!$H555</f>
        <v>7924.9</v>
      </c>
      <c r="M555" s="6" t="e">
        <f>VLOOKUP('Invoice Data'!$A555,BPay!$B$4:$D$10,3,0)</f>
        <v>#N/A</v>
      </c>
      <c r="N555" s="8"/>
    </row>
    <row r="556" spans="1:14" x14ac:dyDescent="0.3">
      <c r="A556" s="12">
        <v>35904</v>
      </c>
      <c r="B556" s="6">
        <v>0</v>
      </c>
      <c r="C556" s="7"/>
      <c r="D556" s="6">
        <v>8813</v>
      </c>
      <c r="E556" s="7">
        <v>2</v>
      </c>
      <c r="F556" s="7" t="str">
        <f t="shared" si="32"/>
        <v>Y</v>
      </c>
      <c r="G556" s="6">
        <f t="shared" si="33"/>
        <v>440.65000000000003</v>
      </c>
      <c r="H556" s="6">
        <f t="shared" si="34"/>
        <v>0</v>
      </c>
      <c r="I556" s="7">
        <v>16</v>
      </c>
      <c r="J556" s="7"/>
      <c r="K556" s="6">
        <f t="shared" si="35"/>
        <v>250</v>
      </c>
      <c r="L556" s="6">
        <f>'Invoice Data'!$B556+'Invoice Data'!$D556-'Invoice Data'!$G556-'Invoice Data'!$K556+'Invoice Data'!$H556</f>
        <v>8122.35</v>
      </c>
      <c r="M556" s="6" t="e">
        <f>VLOOKUP('Invoice Data'!$A556,BPay!$B$4:$D$10,3,0)</f>
        <v>#N/A</v>
      </c>
      <c r="N556" s="8"/>
    </row>
    <row r="557" spans="1:14" x14ac:dyDescent="0.3">
      <c r="A557" s="12">
        <v>35913</v>
      </c>
      <c r="B557" s="6">
        <v>0</v>
      </c>
      <c r="C557" s="7"/>
      <c r="D557" s="6">
        <v>7211</v>
      </c>
      <c r="E557" s="7">
        <v>2</v>
      </c>
      <c r="F557" s="7" t="str">
        <f t="shared" si="32"/>
        <v>Y</v>
      </c>
      <c r="G557" s="6">
        <f t="shared" si="33"/>
        <v>360.55</v>
      </c>
      <c r="H557" s="6">
        <f t="shared" si="34"/>
        <v>0</v>
      </c>
      <c r="I557" s="7">
        <v>16</v>
      </c>
      <c r="J557" s="7"/>
      <c r="K557" s="6">
        <f t="shared" si="35"/>
        <v>250</v>
      </c>
      <c r="L557" s="6">
        <f>'Invoice Data'!$B557+'Invoice Data'!$D557-'Invoice Data'!$G557-'Invoice Data'!$K557+'Invoice Data'!$H557</f>
        <v>6600.45</v>
      </c>
      <c r="M557" s="6" t="e">
        <f>VLOOKUP('Invoice Data'!$A557,BPay!$B$4:$D$10,3,0)</f>
        <v>#N/A</v>
      </c>
      <c r="N557" s="8"/>
    </row>
    <row r="558" spans="1:14" x14ac:dyDescent="0.3">
      <c r="A558" s="12">
        <v>35922</v>
      </c>
      <c r="B558" s="6">
        <v>0</v>
      </c>
      <c r="C558" s="7"/>
      <c r="D558" s="6">
        <v>9522</v>
      </c>
      <c r="E558" s="7">
        <v>2</v>
      </c>
      <c r="F558" s="7" t="str">
        <f t="shared" si="32"/>
        <v>Y</v>
      </c>
      <c r="G558" s="6">
        <f t="shared" si="33"/>
        <v>476.1</v>
      </c>
      <c r="H558" s="6">
        <f t="shared" si="34"/>
        <v>0</v>
      </c>
      <c r="I558" s="7">
        <v>4</v>
      </c>
      <c r="J558" s="7"/>
      <c r="K558" s="6">
        <f t="shared" si="35"/>
        <v>0</v>
      </c>
      <c r="L558" s="6">
        <f>'Invoice Data'!$B558+'Invoice Data'!$D558-'Invoice Data'!$G558-'Invoice Data'!$K558+'Invoice Data'!$H558</f>
        <v>9045.9</v>
      </c>
      <c r="M558" s="6" t="e">
        <f>VLOOKUP('Invoice Data'!$A558,BPay!$B$4:$D$10,3,0)</f>
        <v>#N/A</v>
      </c>
      <c r="N558" s="8"/>
    </row>
    <row r="559" spans="1:14" x14ac:dyDescent="0.3">
      <c r="A559" s="12">
        <v>35931</v>
      </c>
      <c r="B559" s="6">
        <v>0</v>
      </c>
      <c r="C559" s="7"/>
      <c r="D559" s="6">
        <v>7027</v>
      </c>
      <c r="E559" s="7">
        <v>2</v>
      </c>
      <c r="F559" s="7" t="str">
        <f t="shared" si="32"/>
        <v>Y</v>
      </c>
      <c r="G559" s="6">
        <f t="shared" si="33"/>
        <v>351.35</v>
      </c>
      <c r="H559" s="6">
        <f t="shared" si="34"/>
        <v>0</v>
      </c>
      <c r="I559" s="7">
        <v>10</v>
      </c>
      <c r="J559" s="7"/>
      <c r="K559" s="6">
        <f t="shared" si="35"/>
        <v>0</v>
      </c>
      <c r="L559" s="6">
        <f>'Invoice Data'!$B559+'Invoice Data'!$D559-'Invoice Data'!$G559-'Invoice Data'!$K559+'Invoice Data'!$H559</f>
        <v>6675.65</v>
      </c>
      <c r="M559" s="6" t="e">
        <f>VLOOKUP('Invoice Data'!$A559,BPay!$B$4:$D$10,3,0)</f>
        <v>#N/A</v>
      </c>
      <c r="N559" s="8"/>
    </row>
    <row r="560" spans="1:14" x14ac:dyDescent="0.3">
      <c r="A560" s="12">
        <v>35940</v>
      </c>
      <c r="B560" s="6">
        <v>0</v>
      </c>
      <c r="C560" s="7"/>
      <c r="D560" s="6">
        <v>4387</v>
      </c>
      <c r="E560" s="7">
        <v>1</v>
      </c>
      <c r="F560" s="7" t="str">
        <f t="shared" si="32"/>
        <v/>
      </c>
      <c r="G560" s="6">
        <f t="shared" si="33"/>
        <v>0</v>
      </c>
      <c r="H560" s="6">
        <f t="shared" si="34"/>
        <v>0</v>
      </c>
      <c r="I560" s="7">
        <v>15</v>
      </c>
      <c r="J560" s="7"/>
      <c r="K560" s="6">
        <f t="shared" si="35"/>
        <v>0</v>
      </c>
      <c r="L560" s="6">
        <f>'Invoice Data'!$B560+'Invoice Data'!$D560-'Invoice Data'!$G560-'Invoice Data'!$K560+'Invoice Data'!$H560</f>
        <v>4387</v>
      </c>
      <c r="M560" s="6" t="e">
        <f>VLOOKUP('Invoice Data'!$A560,BPay!$B$4:$D$10,3,0)</f>
        <v>#N/A</v>
      </c>
      <c r="N560" s="8"/>
    </row>
    <row r="561" spans="1:14" x14ac:dyDescent="0.3">
      <c r="A561" s="12">
        <v>35959</v>
      </c>
      <c r="B561" s="6">
        <v>0</v>
      </c>
      <c r="C561" s="7"/>
      <c r="D561" s="6">
        <v>8283</v>
      </c>
      <c r="E561" s="7">
        <v>2</v>
      </c>
      <c r="F561" s="7" t="str">
        <f t="shared" si="32"/>
        <v>Y</v>
      </c>
      <c r="G561" s="6">
        <f t="shared" si="33"/>
        <v>414.15000000000003</v>
      </c>
      <c r="H561" s="6">
        <f t="shared" si="34"/>
        <v>0</v>
      </c>
      <c r="I561" s="7">
        <v>3</v>
      </c>
      <c r="J561" s="7"/>
      <c r="K561" s="6">
        <f t="shared" si="35"/>
        <v>0</v>
      </c>
      <c r="L561" s="6">
        <f>'Invoice Data'!$B561+'Invoice Data'!$D561-'Invoice Data'!$G561-'Invoice Data'!$K561+'Invoice Data'!$H561</f>
        <v>7868.85</v>
      </c>
      <c r="M561" s="6" t="e">
        <f>VLOOKUP('Invoice Data'!$A561,BPay!$B$4:$D$10,3,0)</f>
        <v>#N/A</v>
      </c>
      <c r="N561" s="8"/>
    </row>
    <row r="562" spans="1:14" x14ac:dyDescent="0.3">
      <c r="A562" s="12">
        <v>35968</v>
      </c>
      <c r="B562" s="6">
        <v>0</v>
      </c>
      <c r="C562" s="7"/>
      <c r="D562" s="6">
        <v>10206</v>
      </c>
      <c r="E562" s="7">
        <v>2</v>
      </c>
      <c r="F562" s="7" t="str">
        <f t="shared" si="32"/>
        <v>Y</v>
      </c>
      <c r="G562" s="6">
        <f t="shared" si="33"/>
        <v>510.3</v>
      </c>
      <c r="H562" s="6">
        <f t="shared" si="34"/>
        <v>0</v>
      </c>
      <c r="I562" s="7">
        <v>11</v>
      </c>
      <c r="J562" s="7"/>
      <c r="K562" s="6">
        <f t="shared" si="35"/>
        <v>0</v>
      </c>
      <c r="L562" s="6">
        <f>'Invoice Data'!$B562+'Invoice Data'!$D562-'Invoice Data'!$G562-'Invoice Data'!$K562+'Invoice Data'!$H562</f>
        <v>9695.7000000000007</v>
      </c>
      <c r="M562" s="6" t="e">
        <f>VLOOKUP('Invoice Data'!$A562,BPay!$B$4:$D$10,3,0)</f>
        <v>#N/A</v>
      </c>
      <c r="N562" s="8"/>
    </row>
    <row r="563" spans="1:14" x14ac:dyDescent="0.3">
      <c r="A563" s="12">
        <v>35977</v>
      </c>
      <c r="B563" s="6">
        <v>0</v>
      </c>
      <c r="C563" s="7"/>
      <c r="D563" s="6">
        <v>4821</v>
      </c>
      <c r="E563" s="7">
        <v>1</v>
      </c>
      <c r="F563" s="7" t="str">
        <f t="shared" si="32"/>
        <v/>
      </c>
      <c r="G563" s="6">
        <f t="shared" si="33"/>
        <v>0</v>
      </c>
      <c r="H563" s="6">
        <f t="shared" si="34"/>
        <v>0</v>
      </c>
      <c r="I563" s="7">
        <v>10</v>
      </c>
      <c r="J563" s="7"/>
      <c r="K563" s="6">
        <f t="shared" si="35"/>
        <v>0</v>
      </c>
      <c r="L563" s="6">
        <f>'Invoice Data'!$B563+'Invoice Data'!$D563-'Invoice Data'!$G563-'Invoice Data'!$K563+'Invoice Data'!$H563</f>
        <v>4821</v>
      </c>
      <c r="M563" s="6" t="e">
        <f>VLOOKUP('Invoice Data'!$A563,BPay!$B$4:$D$10,3,0)</f>
        <v>#N/A</v>
      </c>
      <c r="N563" s="8"/>
    </row>
    <row r="564" spans="1:14" x14ac:dyDescent="0.3">
      <c r="A564" s="12">
        <v>35986</v>
      </c>
      <c r="B564" s="6">
        <v>0</v>
      </c>
      <c r="C564" s="7"/>
      <c r="D564" s="6">
        <v>4365</v>
      </c>
      <c r="E564" s="7">
        <v>1</v>
      </c>
      <c r="F564" s="7" t="str">
        <f t="shared" si="32"/>
        <v/>
      </c>
      <c r="G564" s="6">
        <f t="shared" si="33"/>
        <v>0</v>
      </c>
      <c r="H564" s="6">
        <f t="shared" si="34"/>
        <v>0</v>
      </c>
      <c r="I564" s="7">
        <v>9</v>
      </c>
      <c r="J564" s="7"/>
      <c r="K564" s="6">
        <f t="shared" si="35"/>
        <v>0</v>
      </c>
      <c r="L564" s="6">
        <f>'Invoice Data'!$B564+'Invoice Data'!$D564-'Invoice Data'!$G564-'Invoice Data'!$K564+'Invoice Data'!$H564</f>
        <v>4365</v>
      </c>
      <c r="M564" s="6" t="e">
        <f>VLOOKUP('Invoice Data'!$A564,BPay!$B$4:$D$10,3,0)</f>
        <v>#N/A</v>
      </c>
      <c r="N564" s="8"/>
    </row>
    <row r="565" spans="1:14" x14ac:dyDescent="0.3">
      <c r="A565" s="12">
        <v>35995</v>
      </c>
      <c r="B565" s="6">
        <v>0</v>
      </c>
      <c r="C565" s="7"/>
      <c r="D565" s="6">
        <v>4431</v>
      </c>
      <c r="E565" s="7">
        <v>1</v>
      </c>
      <c r="F565" s="7" t="str">
        <f t="shared" si="32"/>
        <v/>
      </c>
      <c r="G565" s="6">
        <f t="shared" si="33"/>
        <v>0</v>
      </c>
      <c r="H565" s="6">
        <f t="shared" si="34"/>
        <v>0</v>
      </c>
      <c r="I565" s="7">
        <v>11</v>
      </c>
      <c r="J565" s="7"/>
      <c r="K565" s="6">
        <f t="shared" si="35"/>
        <v>0</v>
      </c>
      <c r="L565" s="6">
        <f>'Invoice Data'!$B565+'Invoice Data'!$D565-'Invoice Data'!$G565-'Invoice Data'!$K565+'Invoice Data'!$H565</f>
        <v>4431</v>
      </c>
      <c r="M565" s="6" t="e">
        <f>VLOOKUP('Invoice Data'!$A565,BPay!$B$4:$D$10,3,0)</f>
        <v>#N/A</v>
      </c>
      <c r="N565" s="8"/>
    </row>
    <row r="566" spans="1:14" x14ac:dyDescent="0.3">
      <c r="A566" s="12">
        <v>36002</v>
      </c>
      <c r="B566" s="6">
        <v>0</v>
      </c>
      <c r="C566" s="7"/>
      <c r="D566" s="6">
        <v>7079</v>
      </c>
      <c r="E566" s="7">
        <v>2</v>
      </c>
      <c r="F566" s="7" t="str">
        <f t="shared" si="32"/>
        <v>Y</v>
      </c>
      <c r="G566" s="6">
        <f t="shared" si="33"/>
        <v>353.95000000000005</v>
      </c>
      <c r="H566" s="6">
        <f t="shared" si="34"/>
        <v>0</v>
      </c>
      <c r="I566" s="7">
        <v>15</v>
      </c>
      <c r="J566" s="7"/>
      <c r="K566" s="6">
        <f t="shared" si="35"/>
        <v>0</v>
      </c>
      <c r="L566" s="6">
        <f>'Invoice Data'!$B566+'Invoice Data'!$D566-'Invoice Data'!$G566-'Invoice Data'!$K566+'Invoice Data'!$H566</f>
        <v>6725.05</v>
      </c>
      <c r="M566" s="6" t="e">
        <f>VLOOKUP('Invoice Data'!$A566,BPay!$B$4:$D$10,3,0)</f>
        <v>#N/A</v>
      </c>
      <c r="N566" s="8"/>
    </row>
    <row r="567" spans="1:14" x14ac:dyDescent="0.3">
      <c r="A567" s="12">
        <v>36011</v>
      </c>
      <c r="B567" s="6">
        <v>0</v>
      </c>
      <c r="C567" s="7"/>
      <c r="D567" s="6">
        <v>9230</v>
      </c>
      <c r="E567" s="7">
        <v>2</v>
      </c>
      <c r="F567" s="7" t="str">
        <f t="shared" si="32"/>
        <v>Y</v>
      </c>
      <c r="G567" s="6">
        <f t="shared" si="33"/>
        <v>461.5</v>
      </c>
      <c r="H567" s="6">
        <f t="shared" si="34"/>
        <v>0</v>
      </c>
      <c r="I567" s="7">
        <v>16</v>
      </c>
      <c r="J567" s="7"/>
      <c r="K567" s="6">
        <f t="shared" si="35"/>
        <v>250</v>
      </c>
      <c r="L567" s="6">
        <f>'Invoice Data'!$B567+'Invoice Data'!$D567-'Invoice Data'!$G567-'Invoice Data'!$K567+'Invoice Data'!$H567</f>
        <v>8518.5</v>
      </c>
      <c r="M567" s="6" t="e">
        <f>VLOOKUP('Invoice Data'!$A567,BPay!$B$4:$D$10,3,0)</f>
        <v>#N/A</v>
      </c>
      <c r="N567" s="8"/>
    </row>
    <row r="568" spans="1:14" x14ac:dyDescent="0.3">
      <c r="A568" s="12">
        <v>36020</v>
      </c>
      <c r="B568" s="6">
        <v>0</v>
      </c>
      <c r="C568" s="7"/>
      <c r="D568" s="6">
        <v>6944</v>
      </c>
      <c r="E568" s="7">
        <v>2</v>
      </c>
      <c r="F568" s="7" t="str">
        <f t="shared" si="32"/>
        <v>Y</v>
      </c>
      <c r="G568" s="6">
        <f t="shared" si="33"/>
        <v>347.20000000000005</v>
      </c>
      <c r="H568" s="6">
        <f t="shared" si="34"/>
        <v>0</v>
      </c>
      <c r="I568" s="7">
        <v>8</v>
      </c>
      <c r="J568" s="7"/>
      <c r="K568" s="6">
        <f t="shared" si="35"/>
        <v>0</v>
      </c>
      <c r="L568" s="6">
        <f>'Invoice Data'!$B568+'Invoice Data'!$D568-'Invoice Data'!$G568-'Invoice Data'!$K568+'Invoice Data'!$H568</f>
        <v>6596.8</v>
      </c>
      <c r="M568" s="6" t="e">
        <f>VLOOKUP('Invoice Data'!$A568,BPay!$B$4:$D$10,3,0)</f>
        <v>#N/A</v>
      </c>
      <c r="N568" s="8"/>
    </row>
    <row r="569" spans="1:14" x14ac:dyDescent="0.3">
      <c r="A569" s="12">
        <v>36039</v>
      </c>
      <c r="B569" s="6">
        <v>0</v>
      </c>
      <c r="C569" s="7"/>
      <c r="D569" s="6">
        <v>4689</v>
      </c>
      <c r="E569" s="7">
        <v>1</v>
      </c>
      <c r="F569" s="7" t="str">
        <f t="shared" si="32"/>
        <v/>
      </c>
      <c r="G569" s="6">
        <f t="shared" si="33"/>
        <v>0</v>
      </c>
      <c r="H569" s="6">
        <f t="shared" si="34"/>
        <v>0</v>
      </c>
      <c r="I569" s="7">
        <v>6</v>
      </c>
      <c r="J569" s="7"/>
      <c r="K569" s="6">
        <f t="shared" si="35"/>
        <v>0</v>
      </c>
      <c r="L569" s="6">
        <f>'Invoice Data'!$B569+'Invoice Data'!$D569-'Invoice Data'!$G569-'Invoice Data'!$K569+'Invoice Data'!$H569</f>
        <v>4689</v>
      </c>
      <c r="M569" s="6" t="e">
        <f>VLOOKUP('Invoice Data'!$A569,BPay!$B$4:$D$10,3,0)</f>
        <v>#N/A</v>
      </c>
      <c r="N569" s="8"/>
    </row>
    <row r="570" spans="1:14" x14ac:dyDescent="0.3">
      <c r="A570" s="12">
        <v>36048</v>
      </c>
      <c r="B570" s="6">
        <v>0</v>
      </c>
      <c r="C570" s="7"/>
      <c r="D570" s="6">
        <v>5119</v>
      </c>
      <c r="E570" s="7">
        <v>1</v>
      </c>
      <c r="F570" s="7" t="str">
        <f t="shared" si="32"/>
        <v/>
      </c>
      <c r="G570" s="6">
        <f t="shared" si="33"/>
        <v>0</v>
      </c>
      <c r="H570" s="6">
        <f t="shared" si="34"/>
        <v>0</v>
      </c>
      <c r="I570" s="7">
        <v>5</v>
      </c>
      <c r="J570" s="7"/>
      <c r="K570" s="6">
        <f t="shared" si="35"/>
        <v>0</v>
      </c>
      <c r="L570" s="6">
        <f>'Invoice Data'!$B570+'Invoice Data'!$D570-'Invoice Data'!$G570-'Invoice Data'!$K570+'Invoice Data'!$H570</f>
        <v>5119</v>
      </c>
      <c r="M570" s="6" t="e">
        <f>VLOOKUP('Invoice Data'!$A570,BPay!$B$4:$D$10,3,0)</f>
        <v>#N/A</v>
      </c>
      <c r="N570" s="8"/>
    </row>
    <row r="571" spans="1:14" x14ac:dyDescent="0.3">
      <c r="A571" s="12">
        <v>36057</v>
      </c>
      <c r="B571" s="6">
        <v>0</v>
      </c>
      <c r="C571" s="7"/>
      <c r="D571" s="6">
        <v>9612</v>
      </c>
      <c r="E571" s="7">
        <v>2</v>
      </c>
      <c r="F571" s="7" t="str">
        <f t="shared" si="32"/>
        <v>Y</v>
      </c>
      <c r="G571" s="6">
        <f t="shared" si="33"/>
        <v>480.6</v>
      </c>
      <c r="H571" s="6">
        <f t="shared" si="34"/>
        <v>0</v>
      </c>
      <c r="I571" s="7">
        <v>4</v>
      </c>
      <c r="J571" s="7"/>
      <c r="K571" s="6">
        <f t="shared" si="35"/>
        <v>0</v>
      </c>
      <c r="L571" s="6">
        <f>'Invoice Data'!$B571+'Invoice Data'!$D571-'Invoice Data'!$G571-'Invoice Data'!$K571+'Invoice Data'!$H571</f>
        <v>9131.4</v>
      </c>
      <c r="M571" s="6" t="e">
        <f>VLOOKUP('Invoice Data'!$A571,BPay!$B$4:$D$10,3,0)</f>
        <v>#N/A</v>
      </c>
      <c r="N571" s="8"/>
    </row>
    <row r="572" spans="1:14" x14ac:dyDescent="0.3">
      <c r="A572" s="12">
        <v>36066</v>
      </c>
      <c r="B572" s="6">
        <v>0</v>
      </c>
      <c r="C572" s="7"/>
      <c r="D572" s="6">
        <v>9564</v>
      </c>
      <c r="E572" s="7">
        <v>2</v>
      </c>
      <c r="F572" s="7" t="str">
        <f t="shared" si="32"/>
        <v>Y</v>
      </c>
      <c r="G572" s="6">
        <f t="shared" si="33"/>
        <v>478.20000000000005</v>
      </c>
      <c r="H572" s="6">
        <f t="shared" si="34"/>
        <v>0</v>
      </c>
      <c r="I572" s="7">
        <v>6</v>
      </c>
      <c r="J572" s="7"/>
      <c r="K572" s="6">
        <f t="shared" si="35"/>
        <v>0</v>
      </c>
      <c r="L572" s="6">
        <f>'Invoice Data'!$B572+'Invoice Data'!$D572-'Invoice Data'!$G572-'Invoice Data'!$K572+'Invoice Data'!$H572</f>
        <v>9085.7999999999993</v>
      </c>
      <c r="M572" s="6" t="e">
        <f>VLOOKUP('Invoice Data'!$A572,BPay!$B$4:$D$10,3,0)</f>
        <v>#N/A</v>
      </c>
      <c r="N572" s="8"/>
    </row>
    <row r="573" spans="1:14" x14ac:dyDescent="0.3">
      <c r="A573" s="12">
        <v>36075</v>
      </c>
      <c r="B573" s="6">
        <v>0</v>
      </c>
      <c r="C573" s="7"/>
      <c r="D573" s="6">
        <v>9471</v>
      </c>
      <c r="E573" s="7">
        <v>2</v>
      </c>
      <c r="F573" s="7" t="str">
        <f t="shared" si="32"/>
        <v>Y</v>
      </c>
      <c r="G573" s="6">
        <f t="shared" si="33"/>
        <v>473.55</v>
      </c>
      <c r="H573" s="6">
        <f t="shared" si="34"/>
        <v>0</v>
      </c>
      <c r="I573" s="7">
        <v>11</v>
      </c>
      <c r="J573" s="7"/>
      <c r="K573" s="6">
        <f t="shared" si="35"/>
        <v>0</v>
      </c>
      <c r="L573" s="6">
        <f>'Invoice Data'!$B573+'Invoice Data'!$D573-'Invoice Data'!$G573-'Invoice Data'!$K573+'Invoice Data'!$H573</f>
        <v>8997.4500000000007</v>
      </c>
      <c r="M573" s="6" t="e">
        <f>VLOOKUP('Invoice Data'!$A573,BPay!$B$4:$D$10,3,0)</f>
        <v>#N/A</v>
      </c>
      <c r="N573" s="8"/>
    </row>
    <row r="574" spans="1:14" x14ac:dyDescent="0.3">
      <c r="A574" s="12">
        <v>36084</v>
      </c>
      <c r="B574" s="6">
        <v>0</v>
      </c>
      <c r="C574" s="7"/>
      <c r="D574" s="6">
        <v>8165</v>
      </c>
      <c r="E574" s="7">
        <v>2</v>
      </c>
      <c r="F574" s="7" t="str">
        <f t="shared" si="32"/>
        <v>Y</v>
      </c>
      <c r="G574" s="6">
        <f t="shared" si="33"/>
        <v>408.25</v>
      </c>
      <c r="H574" s="6">
        <f t="shared" si="34"/>
        <v>0</v>
      </c>
      <c r="I574" s="7">
        <v>15</v>
      </c>
      <c r="J574" s="7"/>
      <c r="K574" s="6">
        <f t="shared" si="35"/>
        <v>0</v>
      </c>
      <c r="L574" s="6">
        <f>'Invoice Data'!$B574+'Invoice Data'!$D574-'Invoice Data'!$G574-'Invoice Data'!$K574+'Invoice Data'!$H574</f>
        <v>7756.75</v>
      </c>
      <c r="M574" s="6" t="e">
        <f>VLOOKUP('Invoice Data'!$A574,BPay!$B$4:$D$10,3,0)</f>
        <v>#N/A</v>
      </c>
      <c r="N574" s="8"/>
    </row>
    <row r="575" spans="1:14" x14ac:dyDescent="0.3">
      <c r="A575" s="12">
        <v>36093</v>
      </c>
      <c r="B575" s="6">
        <v>0</v>
      </c>
      <c r="C575" s="7"/>
      <c r="D575" s="6">
        <v>9975</v>
      </c>
      <c r="E575" s="7">
        <v>2</v>
      </c>
      <c r="F575" s="7" t="str">
        <f t="shared" si="32"/>
        <v>Y</v>
      </c>
      <c r="G575" s="6">
        <f t="shared" si="33"/>
        <v>498.75</v>
      </c>
      <c r="H575" s="6">
        <f t="shared" si="34"/>
        <v>0</v>
      </c>
      <c r="I575" s="7">
        <v>5</v>
      </c>
      <c r="J575" s="7"/>
      <c r="K575" s="6">
        <f t="shared" si="35"/>
        <v>0</v>
      </c>
      <c r="L575" s="6">
        <f>'Invoice Data'!$B575+'Invoice Data'!$D575-'Invoice Data'!$G575-'Invoice Data'!$K575+'Invoice Data'!$H575</f>
        <v>9476.25</v>
      </c>
      <c r="M575" s="6" t="e">
        <f>VLOOKUP('Invoice Data'!$A575,BPay!$B$4:$D$10,3,0)</f>
        <v>#N/A</v>
      </c>
      <c r="N575" s="8"/>
    </row>
    <row r="576" spans="1:14" x14ac:dyDescent="0.3">
      <c r="A576" s="12">
        <v>36100</v>
      </c>
      <c r="B576" s="6">
        <v>0</v>
      </c>
      <c r="C576" s="7"/>
      <c r="D576" s="6">
        <v>9219</v>
      </c>
      <c r="E576" s="7">
        <v>2</v>
      </c>
      <c r="F576" s="7" t="str">
        <f t="shared" si="32"/>
        <v>Y</v>
      </c>
      <c r="G576" s="6">
        <f t="shared" si="33"/>
        <v>460.95000000000005</v>
      </c>
      <c r="H576" s="6">
        <f t="shared" si="34"/>
        <v>0</v>
      </c>
      <c r="I576" s="7">
        <v>4</v>
      </c>
      <c r="J576" s="7"/>
      <c r="K576" s="6">
        <f t="shared" si="35"/>
        <v>0</v>
      </c>
      <c r="L576" s="6">
        <f>'Invoice Data'!$B576+'Invoice Data'!$D576-'Invoice Data'!$G576-'Invoice Data'!$K576+'Invoice Data'!$H576</f>
        <v>8758.0499999999993</v>
      </c>
      <c r="M576" s="6" t="e">
        <f>VLOOKUP('Invoice Data'!$A576,BPay!$B$4:$D$10,3,0)</f>
        <v>#N/A</v>
      </c>
      <c r="N576" s="8"/>
    </row>
    <row r="577" spans="1:14" x14ac:dyDescent="0.3">
      <c r="A577" s="12">
        <v>36119</v>
      </c>
      <c r="B577" s="6">
        <v>0</v>
      </c>
      <c r="C577" s="7"/>
      <c r="D577" s="6">
        <v>5338</v>
      </c>
      <c r="E577" s="7">
        <v>1</v>
      </c>
      <c r="F577" s="7" t="str">
        <f t="shared" si="32"/>
        <v/>
      </c>
      <c r="G577" s="6">
        <f t="shared" si="33"/>
        <v>0</v>
      </c>
      <c r="H577" s="6">
        <f t="shared" si="34"/>
        <v>0</v>
      </c>
      <c r="I577" s="7">
        <v>13</v>
      </c>
      <c r="J577" s="7"/>
      <c r="K577" s="6">
        <f t="shared" si="35"/>
        <v>0</v>
      </c>
      <c r="L577" s="6">
        <f>'Invoice Data'!$B577+'Invoice Data'!$D577-'Invoice Data'!$G577-'Invoice Data'!$K577+'Invoice Data'!$H577</f>
        <v>5338</v>
      </c>
      <c r="M577" s="6" t="e">
        <f>VLOOKUP('Invoice Data'!$A577,BPay!$B$4:$D$10,3,0)</f>
        <v>#N/A</v>
      </c>
      <c r="N577" s="8"/>
    </row>
    <row r="578" spans="1:14" x14ac:dyDescent="0.3">
      <c r="A578" s="12">
        <v>36128</v>
      </c>
      <c r="B578" s="6">
        <v>0</v>
      </c>
      <c r="C578" s="7"/>
      <c r="D578" s="6">
        <v>7189</v>
      </c>
      <c r="E578" s="7">
        <v>2</v>
      </c>
      <c r="F578" s="7" t="str">
        <f t="shared" si="32"/>
        <v>Y</v>
      </c>
      <c r="G578" s="6">
        <f t="shared" si="33"/>
        <v>359.45000000000005</v>
      </c>
      <c r="H578" s="6">
        <f t="shared" si="34"/>
        <v>0</v>
      </c>
      <c r="I578" s="7">
        <v>13</v>
      </c>
      <c r="J578" s="7"/>
      <c r="K578" s="6">
        <f t="shared" si="35"/>
        <v>0</v>
      </c>
      <c r="L578" s="6">
        <f>'Invoice Data'!$B578+'Invoice Data'!$D578-'Invoice Data'!$G578-'Invoice Data'!$K578+'Invoice Data'!$H578</f>
        <v>6829.55</v>
      </c>
      <c r="M578" s="6" t="e">
        <f>VLOOKUP('Invoice Data'!$A578,BPay!$B$4:$D$10,3,0)</f>
        <v>#N/A</v>
      </c>
      <c r="N578" s="8"/>
    </row>
    <row r="579" spans="1:14" x14ac:dyDescent="0.3">
      <c r="A579" s="12">
        <v>36137</v>
      </c>
      <c r="B579" s="6">
        <v>0</v>
      </c>
      <c r="C579" s="7"/>
      <c r="D579" s="6">
        <v>7728</v>
      </c>
      <c r="E579" s="7">
        <v>2</v>
      </c>
      <c r="F579" s="7" t="str">
        <f t="shared" si="32"/>
        <v>Y</v>
      </c>
      <c r="G579" s="6">
        <f t="shared" si="33"/>
        <v>386.40000000000003</v>
      </c>
      <c r="H579" s="6">
        <f t="shared" si="34"/>
        <v>0</v>
      </c>
      <c r="I579" s="7">
        <v>5</v>
      </c>
      <c r="J579" s="7"/>
      <c r="K579" s="6">
        <f t="shared" si="35"/>
        <v>0</v>
      </c>
      <c r="L579" s="6">
        <f>'Invoice Data'!$B579+'Invoice Data'!$D579-'Invoice Data'!$G579-'Invoice Data'!$K579+'Invoice Data'!$H579</f>
        <v>7341.6</v>
      </c>
      <c r="M579" s="6" t="e">
        <f>VLOOKUP('Invoice Data'!$A579,BPay!$B$4:$D$10,3,0)</f>
        <v>#N/A</v>
      </c>
      <c r="N579" s="8"/>
    </row>
    <row r="580" spans="1:14" x14ac:dyDescent="0.3">
      <c r="A580" s="12">
        <v>36146</v>
      </c>
      <c r="B580" s="6">
        <v>0</v>
      </c>
      <c r="C580" s="7"/>
      <c r="D580" s="6">
        <v>5552</v>
      </c>
      <c r="E580" s="7">
        <v>1</v>
      </c>
      <c r="F580" s="7" t="str">
        <f t="shared" si="32"/>
        <v/>
      </c>
      <c r="G580" s="6">
        <f t="shared" si="33"/>
        <v>0</v>
      </c>
      <c r="H580" s="6">
        <f t="shared" si="34"/>
        <v>0</v>
      </c>
      <c r="I580" s="7">
        <v>4</v>
      </c>
      <c r="J580" s="7"/>
      <c r="K580" s="6">
        <f t="shared" si="35"/>
        <v>0</v>
      </c>
      <c r="L580" s="6">
        <f>'Invoice Data'!$B580+'Invoice Data'!$D580-'Invoice Data'!$G580-'Invoice Data'!$K580+'Invoice Data'!$H580</f>
        <v>5552</v>
      </c>
      <c r="M580" s="6" t="e">
        <f>VLOOKUP('Invoice Data'!$A580,BPay!$B$4:$D$10,3,0)</f>
        <v>#N/A</v>
      </c>
      <c r="N580" s="8"/>
    </row>
    <row r="581" spans="1:14" x14ac:dyDescent="0.3">
      <c r="A581" s="12">
        <v>36155</v>
      </c>
      <c r="B581" s="6">
        <v>1020</v>
      </c>
      <c r="C581" s="7"/>
      <c r="D581" s="6">
        <v>3416</v>
      </c>
      <c r="E581" s="7">
        <v>1</v>
      </c>
      <c r="F581" s="7" t="str">
        <f t="shared" si="32"/>
        <v/>
      </c>
      <c r="G581" s="6">
        <f t="shared" si="33"/>
        <v>0</v>
      </c>
      <c r="H581" s="6">
        <f t="shared" si="34"/>
        <v>102</v>
      </c>
      <c r="I581" s="7">
        <v>16</v>
      </c>
      <c r="J581" s="7"/>
      <c r="K581" s="6">
        <f t="shared" si="35"/>
        <v>250</v>
      </c>
      <c r="L581" s="6">
        <f>'Invoice Data'!$B581+'Invoice Data'!$D581-'Invoice Data'!$G581-'Invoice Data'!$K581+'Invoice Data'!$H581</f>
        <v>4288</v>
      </c>
      <c r="M581" s="6" t="e">
        <f>VLOOKUP('Invoice Data'!$A581,BPay!$B$4:$D$10,3,0)</f>
        <v>#N/A</v>
      </c>
      <c r="N581" s="8"/>
    </row>
    <row r="582" spans="1:14" x14ac:dyDescent="0.3">
      <c r="A582" s="12">
        <v>36164</v>
      </c>
      <c r="B582" s="6">
        <v>0</v>
      </c>
      <c r="C582" s="7"/>
      <c r="D582" s="6">
        <v>8324</v>
      </c>
      <c r="E582" s="7">
        <v>2</v>
      </c>
      <c r="F582" s="7" t="str">
        <f t="shared" si="32"/>
        <v>Y</v>
      </c>
      <c r="G582" s="6">
        <f t="shared" si="33"/>
        <v>416.20000000000005</v>
      </c>
      <c r="H582" s="6">
        <f t="shared" si="34"/>
        <v>0</v>
      </c>
      <c r="I582" s="7">
        <v>12</v>
      </c>
      <c r="J582" s="7"/>
      <c r="K582" s="6">
        <f t="shared" si="35"/>
        <v>0</v>
      </c>
      <c r="L582" s="6">
        <f>'Invoice Data'!$B582+'Invoice Data'!$D582-'Invoice Data'!$G582-'Invoice Data'!$K582+'Invoice Data'!$H582</f>
        <v>7907.8</v>
      </c>
      <c r="M582" s="6" t="e">
        <f>VLOOKUP('Invoice Data'!$A582,BPay!$B$4:$D$10,3,0)</f>
        <v>#N/A</v>
      </c>
      <c r="N582" s="8"/>
    </row>
    <row r="583" spans="1:14" x14ac:dyDescent="0.3">
      <c r="A583" s="12">
        <v>36173</v>
      </c>
      <c r="B583" s="6">
        <v>0</v>
      </c>
      <c r="C583" s="7"/>
      <c r="D583" s="6">
        <v>5453</v>
      </c>
      <c r="E583" s="7">
        <v>1</v>
      </c>
      <c r="F583" s="7" t="str">
        <f t="shared" si="32"/>
        <v/>
      </c>
      <c r="G583" s="6">
        <f t="shared" si="33"/>
        <v>0</v>
      </c>
      <c r="H583" s="6">
        <f t="shared" si="34"/>
        <v>0</v>
      </c>
      <c r="I583" s="7">
        <v>7</v>
      </c>
      <c r="J583" s="7"/>
      <c r="K583" s="6">
        <f t="shared" si="35"/>
        <v>0</v>
      </c>
      <c r="L583" s="6">
        <f>'Invoice Data'!$B583+'Invoice Data'!$D583-'Invoice Data'!$G583-'Invoice Data'!$K583+'Invoice Data'!$H583</f>
        <v>5453</v>
      </c>
      <c r="M583" s="6" t="e">
        <f>VLOOKUP('Invoice Data'!$A583,BPay!$B$4:$D$10,3,0)</f>
        <v>#N/A</v>
      </c>
      <c r="N583" s="8"/>
    </row>
    <row r="584" spans="1:14" x14ac:dyDescent="0.3">
      <c r="A584" s="12">
        <v>36182</v>
      </c>
      <c r="B584" s="6">
        <v>0</v>
      </c>
      <c r="C584" s="7"/>
      <c r="D584" s="6">
        <v>9529</v>
      </c>
      <c r="E584" s="7">
        <v>2</v>
      </c>
      <c r="F584" s="7" t="str">
        <f t="shared" si="32"/>
        <v>Y</v>
      </c>
      <c r="G584" s="6">
        <f t="shared" si="33"/>
        <v>476.45000000000005</v>
      </c>
      <c r="H584" s="6">
        <f t="shared" si="34"/>
        <v>0</v>
      </c>
      <c r="I584" s="7">
        <v>4</v>
      </c>
      <c r="J584" s="7"/>
      <c r="K584" s="6">
        <f t="shared" si="35"/>
        <v>0</v>
      </c>
      <c r="L584" s="6">
        <f>'Invoice Data'!$B584+'Invoice Data'!$D584-'Invoice Data'!$G584-'Invoice Data'!$K584+'Invoice Data'!$H584</f>
        <v>9052.5499999999993</v>
      </c>
      <c r="M584" s="6" t="e">
        <f>VLOOKUP('Invoice Data'!$A584,BPay!$B$4:$D$10,3,0)</f>
        <v>#N/A</v>
      </c>
      <c r="N584" s="8"/>
    </row>
    <row r="585" spans="1:14" x14ac:dyDescent="0.3">
      <c r="A585" s="12">
        <v>36191</v>
      </c>
      <c r="B585" s="6">
        <v>0</v>
      </c>
      <c r="C585" s="7"/>
      <c r="D585" s="6">
        <v>5071</v>
      </c>
      <c r="E585" s="7">
        <v>1</v>
      </c>
      <c r="F585" s="7" t="str">
        <f t="shared" ref="F585:F648" si="36">IF(E585&gt;=2,"Y", "")</f>
        <v/>
      </c>
      <c r="G585" s="6">
        <f t="shared" ref="G585:G648" si="37">IF(F585="y",D585*5%,0)</f>
        <v>0</v>
      </c>
      <c r="H585" s="6">
        <f t="shared" ref="H585:H648" si="38">IF(AND(B585&gt;0,C585&lt;&gt;"Y"),B585*10%,0)</f>
        <v>0</v>
      </c>
      <c r="I585" s="7">
        <v>6</v>
      </c>
      <c r="J585" s="7"/>
      <c r="K585" s="6">
        <f t="shared" ref="K585:K648" si="39">IF(OR(I585&gt;=16,J585),250,0)</f>
        <v>0</v>
      </c>
      <c r="L585" s="6">
        <f>'Invoice Data'!$B585+'Invoice Data'!$D585-'Invoice Data'!$G585-'Invoice Data'!$K585+'Invoice Data'!$H585</f>
        <v>5071</v>
      </c>
      <c r="M585" s="6" t="e">
        <f>VLOOKUP('Invoice Data'!$A585,BPay!$B$4:$D$10,3,0)</f>
        <v>#N/A</v>
      </c>
      <c r="N585" s="8"/>
    </row>
    <row r="586" spans="1:14" x14ac:dyDescent="0.3">
      <c r="A586" s="12">
        <v>36208</v>
      </c>
      <c r="B586" s="6">
        <v>0</v>
      </c>
      <c r="C586" s="7"/>
      <c r="D586" s="6">
        <v>4894</v>
      </c>
      <c r="E586" s="7">
        <v>1</v>
      </c>
      <c r="F586" s="7" t="str">
        <f t="shared" si="36"/>
        <v/>
      </c>
      <c r="G586" s="6">
        <f t="shared" si="37"/>
        <v>0</v>
      </c>
      <c r="H586" s="6">
        <f t="shared" si="38"/>
        <v>0</v>
      </c>
      <c r="I586" s="7">
        <v>1</v>
      </c>
      <c r="J586" s="7"/>
      <c r="K586" s="6">
        <f t="shared" si="39"/>
        <v>0</v>
      </c>
      <c r="L586" s="6">
        <f>'Invoice Data'!$B586+'Invoice Data'!$D586-'Invoice Data'!$G586-'Invoice Data'!$K586+'Invoice Data'!$H586</f>
        <v>4894</v>
      </c>
      <c r="M586" s="6" t="e">
        <f>VLOOKUP('Invoice Data'!$A586,BPay!$B$4:$D$10,3,0)</f>
        <v>#N/A</v>
      </c>
      <c r="N586" s="8"/>
    </row>
    <row r="587" spans="1:14" x14ac:dyDescent="0.3">
      <c r="A587" s="12">
        <v>36217</v>
      </c>
      <c r="B587" s="6">
        <v>0</v>
      </c>
      <c r="C587" s="7"/>
      <c r="D587" s="6">
        <v>5027</v>
      </c>
      <c r="E587" s="7">
        <v>1</v>
      </c>
      <c r="F587" s="7" t="str">
        <f t="shared" si="36"/>
        <v/>
      </c>
      <c r="G587" s="6">
        <f t="shared" si="37"/>
        <v>0</v>
      </c>
      <c r="H587" s="6">
        <f t="shared" si="38"/>
        <v>0</v>
      </c>
      <c r="I587" s="7">
        <v>10</v>
      </c>
      <c r="J587" s="7"/>
      <c r="K587" s="6">
        <f t="shared" si="39"/>
        <v>0</v>
      </c>
      <c r="L587" s="6">
        <f>'Invoice Data'!$B587+'Invoice Data'!$D587-'Invoice Data'!$G587-'Invoice Data'!$K587+'Invoice Data'!$H587</f>
        <v>5027</v>
      </c>
      <c r="M587" s="6" t="e">
        <f>VLOOKUP('Invoice Data'!$A587,BPay!$B$4:$D$10,3,0)</f>
        <v>#N/A</v>
      </c>
      <c r="N587" s="8"/>
    </row>
    <row r="588" spans="1:14" x14ac:dyDescent="0.3">
      <c r="A588" s="12">
        <v>36226</v>
      </c>
      <c r="B588" s="6">
        <v>0</v>
      </c>
      <c r="C588" s="7"/>
      <c r="D588" s="6">
        <v>7428</v>
      </c>
      <c r="E588" s="7">
        <v>2</v>
      </c>
      <c r="F588" s="7" t="str">
        <f t="shared" si="36"/>
        <v>Y</v>
      </c>
      <c r="G588" s="6">
        <f t="shared" si="37"/>
        <v>371.40000000000003</v>
      </c>
      <c r="H588" s="6">
        <f t="shared" si="38"/>
        <v>0</v>
      </c>
      <c r="I588" s="7">
        <v>6</v>
      </c>
      <c r="J588" s="7"/>
      <c r="K588" s="6">
        <f t="shared" si="39"/>
        <v>0</v>
      </c>
      <c r="L588" s="6">
        <f>'Invoice Data'!$B588+'Invoice Data'!$D588-'Invoice Data'!$G588-'Invoice Data'!$K588+'Invoice Data'!$H588</f>
        <v>7056.6</v>
      </c>
      <c r="M588" s="6" t="e">
        <f>VLOOKUP('Invoice Data'!$A588,BPay!$B$4:$D$10,3,0)</f>
        <v>#N/A</v>
      </c>
      <c r="N588" s="8"/>
    </row>
    <row r="589" spans="1:14" x14ac:dyDescent="0.3">
      <c r="A589" s="12">
        <v>36235</v>
      </c>
      <c r="B589" s="6">
        <v>0</v>
      </c>
      <c r="C589" s="7"/>
      <c r="D589" s="6">
        <v>4099</v>
      </c>
      <c r="E589" s="7">
        <v>1</v>
      </c>
      <c r="F589" s="7" t="str">
        <f t="shared" si="36"/>
        <v/>
      </c>
      <c r="G589" s="6">
        <f t="shared" si="37"/>
        <v>0</v>
      </c>
      <c r="H589" s="6">
        <f t="shared" si="38"/>
        <v>0</v>
      </c>
      <c r="I589" s="7">
        <v>7</v>
      </c>
      <c r="J589" s="7"/>
      <c r="K589" s="6">
        <f t="shared" si="39"/>
        <v>0</v>
      </c>
      <c r="L589" s="6">
        <f>'Invoice Data'!$B589+'Invoice Data'!$D589-'Invoice Data'!$G589-'Invoice Data'!$K589+'Invoice Data'!$H589</f>
        <v>4099</v>
      </c>
      <c r="M589" s="6" t="e">
        <f>VLOOKUP('Invoice Data'!$A589,BPay!$B$4:$D$10,3,0)</f>
        <v>#N/A</v>
      </c>
      <c r="N589" s="8"/>
    </row>
    <row r="590" spans="1:14" x14ac:dyDescent="0.3">
      <c r="A590" s="12">
        <v>36244</v>
      </c>
      <c r="B590" s="6">
        <v>0</v>
      </c>
      <c r="C590" s="7"/>
      <c r="D590" s="6">
        <v>4279</v>
      </c>
      <c r="E590" s="7">
        <v>1</v>
      </c>
      <c r="F590" s="7" t="str">
        <f t="shared" si="36"/>
        <v/>
      </c>
      <c r="G590" s="6">
        <f t="shared" si="37"/>
        <v>0</v>
      </c>
      <c r="H590" s="6">
        <f t="shared" si="38"/>
        <v>0</v>
      </c>
      <c r="I590" s="7">
        <v>6</v>
      </c>
      <c r="J590" s="7"/>
      <c r="K590" s="6">
        <f t="shared" si="39"/>
        <v>0</v>
      </c>
      <c r="L590" s="6">
        <f>'Invoice Data'!$B590+'Invoice Data'!$D590-'Invoice Data'!$G590-'Invoice Data'!$K590+'Invoice Data'!$H590</f>
        <v>4279</v>
      </c>
      <c r="M590" s="6" t="e">
        <f>VLOOKUP('Invoice Data'!$A590,BPay!$B$4:$D$10,3,0)</f>
        <v>#N/A</v>
      </c>
      <c r="N590" s="8"/>
    </row>
    <row r="591" spans="1:14" x14ac:dyDescent="0.3">
      <c r="A591" s="12">
        <v>36253</v>
      </c>
      <c r="B591" s="6">
        <v>0</v>
      </c>
      <c r="C591" s="7"/>
      <c r="D591" s="6">
        <v>3914</v>
      </c>
      <c r="E591" s="7">
        <v>1</v>
      </c>
      <c r="F591" s="7" t="str">
        <f t="shared" si="36"/>
        <v/>
      </c>
      <c r="G591" s="6">
        <f t="shared" si="37"/>
        <v>0</v>
      </c>
      <c r="H591" s="6">
        <f t="shared" si="38"/>
        <v>0</v>
      </c>
      <c r="I591" s="7">
        <v>4</v>
      </c>
      <c r="J591" s="7"/>
      <c r="K591" s="6">
        <f t="shared" si="39"/>
        <v>0</v>
      </c>
      <c r="L591" s="6">
        <f>'Invoice Data'!$B591+'Invoice Data'!$D591-'Invoice Data'!$G591-'Invoice Data'!$K591+'Invoice Data'!$H591</f>
        <v>3914</v>
      </c>
      <c r="M591" s="6" t="e">
        <f>VLOOKUP('Invoice Data'!$A591,BPay!$B$4:$D$10,3,0)</f>
        <v>#N/A</v>
      </c>
      <c r="N591" s="8"/>
    </row>
    <row r="592" spans="1:14" x14ac:dyDescent="0.3">
      <c r="A592" s="12">
        <v>36262</v>
      </c>
      <c r="B592" s="6">
        <v>0</v>
      </c>
      <c r="C592" s="7"/>
      <c r="D592" s="6">
        <v>9035</v>
      </c>
      <c r="E592" s="7">
        <v>2</v>
      </c>
      <c r="F592" s="7" t="str">
        <f t="shared" si="36"/>
        <v>Y</v>
      </c>
      <c r="G592" s="6">
        <f t="shared" si="37"/>
        <v>451.75</v>
      </c>
      <c r="H592" s="6">
        <f t="shared" si="38"/>
        <v>0</v>
      </c>
      <c r="I592" s="7">
        <v>3</v>
      </c>
      <c r="J592" s="7"/>
      <c r="K592" s="6">
        <f t="shared" si="39"/>
        <v>0</v>
      </c>
      <c r="L592" s="6">
        <f>'Invoice Data'!$B592+'Invoice Data'!$D592-'Invoice Data'!$G592-'Invoice Data'!$K592+'Invoice Data'!$H592</f>
        <v>8583.25</v>
      </c>
      <c r="M592" s="6" t="e">
        <f>VLOOKUP('Invoice Data'!$A592,BPay!$B$4:$D$10,3,0)</f>
        <v>#N/A</v>
      </c>
      <c r="N592" s="8"/>
    </row>
    <row r="593" spans="1:14" x14ac:dyDescent="0.3">
      <c r="A593" s="12">
        <v>36271</v>
      </c>
      <c r="B593" s="6">
        <v>0</v>
      </c>
      <c r="C593" s="7"/>
      <c r="D593" s="6">
        <v>7307</v>
      </c>
      <c r="E593" s="7">
        <v>2</v>
      </c>
      <c r="F593" s="7" t="str">
        <f t="shared" si="36"/>
        <v>Y</v>
      </c>
      <c r="G593" s="6">
        <f t="shared" si="37"/>
        <v>365.35</v>
      </c>
      <c r="H593" s="6">
        <f t="shared" si="38"/>
        <v>0</v>
      </c>
      <c r="I593" s="7">
        <v>6</v>
      </c>
      <c r="J593" s="7"/>
      <c r="K593" s="6">
        <f t="shared" si="39"/>
        <v>0</v>
      </c>
      <c r="L593" s="6">
        <f>'Invoice Data'!$B593+'Invoice Data'!$D593-'Invoice Data'!$G593-'Invoice Data'!$K593+'Invoice Data'!$H593</f>
        <v>6941.65</v>
      </c>
      <c r="M593" s="6" t="e">
        <f>VLOOKUP('Invoice Data'!$A593,BPay!$B$4:$D$10,3,0)</f>
        <v>#N/A</v>
      </c>
      <c r="N593" s="8"/>
    </row>
    <row r="594" spans="1:14" x14ac:dyDescent="0.3">
      <c r="A594" s="12">
        <v>36280</v>
      </c>
      <c r="B594" s="6">
        <v>0</v>
      </c>
      <c r="C594" s="7"/>
      <c r="D594" s="6">
        <v>6877</v>
      </c>
      <c r="E594" s="7">
        <v>2</v>
      </c>
      <c r="F594" s="7" t="str">
        <f t="shared" si="36"/>
        <v>Y</v>
      </c>
      <c r="G594" s="6">
        <f t="shared" si="37"/>
        <v>343.85</v>
      </c>
      <c r="H594" s="6">
        <f t="shared" si="38"/>
        <v>0</v>
      </c>
      <c r="I594" s="7">
        <v>1</v>
      </c>
      <c r="J594" s="7"/>
      <c r="K594" s="6">
        <f t="shared" si="39"/>
        <v>0</v>
      </c>
      <c r="L594" s="6">
        <f>'Invoice Data'!$B594+'Invoice Data'!$D594-'Invoice Data'!$G594-'Invoice Data'!$K594+'Invoice Data'!$H594</f>
        <v>6533.15</v>
      </c>
      <c r="M594" s="6" t="e">
        <f>VLOOKUP('Invoice Data'!$A594,BPay!$B$4:$D$10,3,0)</f>
        <v>#N/A</v>
      </c>
      <c r="N594" s="8"/>
    </row>
    <row r="595" spans="1:14" x14ac:dyDescent="0.3">
      <c r="A595" s="12">
        <v>36299</v>
      </c>
      <c r="B595" s="6">
        <v>0</v>
      </c>
      <c r="C595" s="7"/>
      <c r="D595" s="6">
        <v>4373</v>
      </c>
      <c r="E595" s="7">
        <v>1</v>
      </c>
      <c r="F595" s="7" t="str">
        <f t="shared" si="36"/>
        <v/>
      </c>
      <c r="G595" s="6">
        <f t="shared" si="37"/>
        <v>0</v>
      </c>
      <c r="H595" s="6">
        <f t="shared" si="38"/>
        <v>0</v>
      </c>
      <c r="I595" s="7">
        <v>5</v>
      </c>
      <c r="J595" s="7"/>
      <c r="K595" s="6">
        <f t="shared" si="39"/>
        <v>0</v>
      </c>
      <c r="L595" s="6">
        <f>'Invoice Data'!$B595+'Invoice Data'!$D595-'Invoice Data'!$G595-'Invoice Data'!$K595+'Invoice Data'!$H595</f>
        <v>4373</v>
      </c>
      <c r="M595" s="6" t="e">
        <f>VLOOKUP('Invoice Data'!$A595,BPay!$B$4:$D$10,3,0)</f>
        <v>#N/A</v>
      </c>
      <c r="N595" s="8"/>
    </row>
    <row r="596" spans="1:14" x14ac:dyDescent="0.3">
      <c r="A596" s="12">
        <v>36306</v>
      </c>
      <c r="B596" s="6">
        <v>0</v>
      </c>
      <c r="C596" s="7"/>
      <c r="D596" s="6">
        <v>4573</v>
      </c>
      <c r="E596" s="7">
        <v>1</v>
      </c>
      <c r="F596" s="7" t="str">
        <f t="shared" si="36"/>
        <v/>
      </c>
      <c r="G596" s="6">
        <f t="shared" si="37"/>
        <v>0</v>
      </c>
      <c r="H596" s="6">
        <f t="shared" si="38"/>
        <v>0</v>
      </c>
      <c r="I596" s="7">
        <v>9</v>
      </c>
      <c r="J596" s="7"/>
      <c r="K596" s="6">
        <f t="shared" si="39"/>
        <v>0</v>
      </c>
      <c r="L596" s="6">
        <f>'Invoice Data'!$B596+'Invoice Data'!$D596-'Invoice Data'!$G596-'Invoice Data'!$K596+'Invoice Data'!$H596</f>
        <v>4573</v>
      </c>
      <c r="M596" s="6" t="e">
        <f>VLOOKUP('Invoice Data'!$A596,BPay!$B$4:$D$10,3,0)</f>
        <v>#N/A</v>
      </c>
      <c r="N596" s="8"/>
    </row>
    <row r="597" spans="1:14" x14ac:dyDescent="0.3">
      <c r="A597" s="12">
        <v>36324</v>
      </c>
      <c r="B597" s="6">
        <v>0</v>
      </c>
      <c r="C597" s="7"/>
      <c r="D597" s="6">
        <v>4961</v>
      </c>
      <c r="E597" s="7">
        <v>1</v>
      </c>
      <c r="F597" s="7" t="str">
        <f t="shared" si="36"/>
        <v/>
      </c>
      <c r="G597" s="6">
        <f t="shared" si="37"/>
        <v>0</v>
      </c>
      <c r="H597" s="6">
        <f t="shared" si="38"/>
        <v>0</v>
      </c>
      <c r="I597" s="7">
        <v>15</v>
      </c>
      <c r="J597" s="7"/>
      <c r="K597" s="6">
        <f t="shared" si="39"/>
        <v>0</v>
      </c>
      <c r="L597" s="6">
        <f>'Invoice Data'!$B597+'Invoice Data'!$D597-'Invoice Data'!$G597-'Invoice Data'!$K597+'Invoice Data'!$H597</f>
        <v>4961</v>
      </c>
      <c r="M597" s="6" t="e">
        <f>VLOOKUP('Invoice Data'!$A597,BPay!$B$4:$D$10,3,0)</f>
        <v>#N/A</v>
      </c>
      <c r="N597" s="8"/>
    </row>
    <row r="598" spans="1:14" x14ac:dyDescent="0.3">
      <c r="A598" s="12">
        <v>36333</v>
      </c>
      <c r="B598" s="6">
        <v>0</v>
      </c>
      <c r="C598" s="7"/>
      <c r="D598" s="6">
        <v>9603</v>
      </c>
      <c r="E598" s="7">
        <v>2</v>
      </c>
      <c r="F598" s="7" t="str">
        <f t="shared" si="36"/>
        <v>Y</v>
      </c>
      <c r="G598" s="6">
        <f t="shared" si="37"/>
        <v>480.15000000000003</v>
      </c>
      <c r="H598" s="6">
        <f t="shared" si="38"/>
        <v>0</v>
      </c>
      <c r="I598" s="7">
        <v>2</v>
      </c>
      <c r="J598" s="7"/>
      <c r="K598" s="6">
        <f t="shared" si="39"/>
        <v>0</v>
      </c>
      <c r="L598" s="6">
        <f>'Invoice Data'!$B598+'Invoice Data'!$D598-'Invoice Data'!$G598-'Invoice Data'!$K598+'Invoice Data'!$H598</f>
        <v>9122.85</v>
      </c>
      <c r="M598" s="6" t="e">
        <f>VLOOKUP('Invoice Data'!$A598,BPay!$B$4:$D$10,3,0)</f>
        <v>#N/A</v>
      </c>
      <c r="N598" s="8"/>
    </row>
    <row r="599" spans="1:14" x14ac:dyDescent="0.3">
      <c r="A599" s="12">
        <v>36342</v>
      </c>
      <c r="B599" s="6">
        <v>0</v>
      </c>
      <c r="C599" s="7"/>
      <c r="D599" s="6">
        <v>7634</v>
      </c>
      <c r="E599" s="7">
        <v>2</v>
      </c>
      <c r="F599" s="7" t="str">
        <f t="shared" si="36"/>
        <v>Y</v>
      </c>
      <c r="G599" s="6">
        <f t="shared" si="37"/>
        <v>381.70000000000005</v>
      </c>
      <c r="H599" s="6">
        <f t="shared" si="38"/>
        <v>0</v>
      </c>
      <c r="I599" s="7">
        <v>10</v>
      </c>
      <c r="J599" s="7"/>
      <c r="K599" s="6">
        <f t="shared" si="39"/>
        <v>0</v>
      </c>
      <c r="L599" s="6">
        <f>'Invoice Data'!$B599+'Invoice Data'!$D599-'Invoice Data'!$G599-'Invoice Data'!$K599+'Invoice Data'!$H599</f>
        <v>7252.3</v>
      </c>
      <c r="M599" s="6" t="e">
        <f>VLOOKUP('Invoice Data'!$A599,BPay!$B$4:$D$10,3,0)</f>
        <v>#N/A</v>
      </c>
      <c r="N599" s="8"/>
    </row>
    <row r="600" spans="1:14" x14ac:dyDescent="0.3">
      <c r="A600" s="12">
        <v>36351</v>
      </c>
      <c r="B600" s="6">
        <v>0</v>
      </c>
      <c r="C600" s="7"/>
      <c r="D600" s="6">
        <v>8525</v>
      </c>
      <c r="E600" s="7">
        <v>2</v>
      </c>
      <c r="F600" s="7" t="str">
        <f t="shared" si="36"/>
        <v>Y</v>
      </c>
      <c r="G600" s="6">
        <f t="shared" si="37"/>
        <v>426.25</v>
      </c>
      <c r="H600" s="6">
        <f t="shared" si="38"/>
        <v>0</v>
      </c>
      <c r="I600" s="7">
        <v>16</v>
      </c>
      <c r="J600" s="7"/>
      <c r="K600" s="6">
        <f t="shared" si="39"/>
        <v>250</v>
      </c>
      <c r="L600" s="6">
        <f>'Invoice Data'!$B600+'Invoice Data'!$D600-'Invoice Data'!$G600-'Invoice Data'!$K600+'Invoice Data'!$H600</f>
        <v>7848.75</v>
      </c>
      <c r="M600" s="6" t="e">
        <f>VLOOKUP('Invoice Data'!$A600,BPay!$B$4:$D$10,3,0)</f>
        <v>#N/A</v>
      </c>
      <c r="N600" s="8"/>
    </row>
    <row r="601" spans="1:14" x14ac:dyDescent="0.3">
      <c r="A601" s="12">
        <v>36360</v>
      </c>
      <c r="B601" s="6">
        <v>0</v>
      </c>
      <c r="C601" s="7"/>
      <c r="D601" s="6">
        <v>10216</v>
      </c>
      <c r="E601" s="7">
        <v>2</v>
      </c>
      <c r="F601" s="7" t="str">
        <f t="shared" si="36"/>
        <v>Y</v>
      </c>
      <c r="G601" s="6">
        <f t="shared" si="37"/>
        <v>510.8</v>
      </c>
      <c r="H601" s="6">
        <f t="shared" si="38"/>
        <v>0</v>
      </c>
      <c r="I601" s="7">
        <v>5</v>
      </c>
      <c r="J601" s="7"/>
      <c r="K601" s="6">
        <f t="shared" si="39"/>
        <v>0</v>
      </c>
      <c r="L601" s="6">
        <f>'Invoice Data'!$B601+'Invoice Data'!$D601-'Invoice Data'!$G601-'Invoice Data'!$K601+'Invoice Data'!$H601</f>
        <v>9705.2000000000007</v>
      </c>
      <c r="M601" s="6" t="e">
        <f>VLOOKUP('Invoice Data'!$A601,BPay!$B$4:$D$10,3,0)</f>
        <v>#N/A</v>
      </c>
      <c r="N601" s="8"/>
    </row>
    <row r="602" spans="1:14" x14ac:dyDescent="0.3">
      <c r="A602" s="12">
        <v>36379</v>
      </c>
      <c r="B602" s="6">
        <v>0</v>
      </c>
      <c r="C602" s="7"/>
      <c r="D602" s="6">
        <v>4832</v>
      </c>
      <c r="E602" s="7">
        <v>1</v>
      </c>
      <c r="F602" s="7" t="str">
        <f t="shared" si="36"/>
        <v/>
      </c>
      <c r="G602" s="6">
        <f t="shared" si="37"/>
        <v>0</v>
      </c>
      <c r="H602" s="6">
        <f t="shared" si="38"/>
        <v>0</v>
      </c>
      <c r="I602" s="7">
        <v>14</v>
      </c>
      <c r="J602" s="7"/>
      <c r="K602" s="6">
        <f t="shared" si="39"/>
        <v>0</v>
      </c>
      <c r="L602" s="6">
        <f>'Invoice Data'!$B602+'Invoice Data'!$D602-'Invoice Data'!$G602-'Invoice Data'!$K602+'Invoice Data'!$H602</f>
        <v>4832</v>
      </c>
      <c r="M602" s="6" t="e">
        <f>VLOOKUP('Invoice Data'!$A602,BPay!$B$4:$D$10,3,0)</f>
        <v>#N/A</v>
      </c>
      <c r="N602" s="8"/>
    </row>
    <row r="603" spans="1:14" x14ac:dyDescent="0.3">
      <c r="A603" s="12">
        <v>36388</v>
      </c>
      <c r="B603" s="6">
        <v>0</v>
      </c>
      <c r="C603" s="7"/>
      <c r="D603" s="6">
        <v>7849</v>
      </c>
      <c r="E603" s="7">
        <v>2</v>
      </c>
      <c r="F603" s="7" t="str">
        <f t="shared" si="36"/>
        <v>Y</v>
      </c>
      <c r="G603" s="6">
        <f t="shared" si="37"/>
        <v>392.45000000000005</v>
      </c>
      <c r="H603" s="6">
        <f t="shared" si="38"/>
        <v>0</v>
      </c>
      <c r="I603" s="7">
        <v>12</v>
      </c>
      <c r="J603" s="7"/>
      <c r="K603" s="6">
        <f t="shared" si="39"/>
        <v>0</v>
      </c>
      <c r="L603" s="6">
        <f>'Invoice Data'!$B603+'Invoice Data'!$D603-'Invoice Data'!$G603-'Invoice Data'!$K603+'Invoice Data'!$H603</f>
        <v>7456.55</v>
      </c>
      <c r="M603" s="6" t="e">
        <f>VLOOKUP('Invoice Data'!$A603,BPay!$B$4:$D$10,3,0)</f>
        <v>#N/A</v>
      </c>
      <c r="N603" s="8"/>
    </row>
    <row r="604" spans="1:14" x14ac:dyDescent="0.3">
      <c r="A604" s="12">
        <v>36397</v>
      </c>
      <c r="B604" s="6">
        <v>-566</v>
      </c>
      <c r="C604" s="7"/>
      <c r="D604" s="6">
        <v>4388</v>
      </c>
      <c r="E604" s="7">
        <v>1</v>
      </c>
      <c r="F604" s="7" t="str">
        <f t="shared" si="36"/>
        <v/>
      </c>
      <c r="G604" s="6">
        <f t="shared" si="37"/>
        <v>0</v>
      </c>
      <c r="H604" s="6">
        <f t="shared" si="38"/>
        <v>0</v>
      </c>
      <c r="I604" s="7">
        <v>0</v>
      </c>
      <c r="J604" s="7" t="b">
        <v>1</v>
      </c>
      <c r="K604" s="6">
        <f t="shared" si="39"/>
        <v>250</v>
      </c>
      <c r="L604" s="6">
        <f>'Invoice Data'!$B604+'Invoice Data'!$D604-'Invoice Data'!$G604-'Invoice Data'!$K604+'Invoice Data'!$H604</f>
        <v>3572</v>
      </c>
      <c r="M604" s="6" t="e">
        <f>VLOOKUP('Invoice Data'!$A604,BPay!$B$4:$D$10,3,0)</f>
        <v>#N/A</v>
      </c>
      <c r="N604" s="8"/>
    </row>
    <row r="605" spans="1:14" x14ac:dyDescent="0.3">
      <c r="A605" s="12">
        <v>36404</v>
      </c>
      <c r="B605" s="6">
        <v>0</v>
      </c>
      <c r="C605" s="7"/>
      <c r="D605" s="6">
        <v>5049</v>
      </c>
      <c r="E605" s="7">
        <v>1</v>
      </c>
      <c r="F605" s="7" t="str">
        <f t="shared" si="36"/>
        <v/>
      </c>
      <c r="G605" s="6">
        <f t="shared" si="37"/>
        <v>0</v>
      </c>
      <c r="H605" s="6">
        <f t="shared" si="38"/>
        <v>0</v>
      </c>
      <c r="I605" s="7">
        <v>2</v>
      </c>
      <c r="J605" s="7"/>
      <c r="K605" s="6">
        <f t="shared" si="39"/>
        <v>0</v>
      </c>
      <c r="L605" s="6">
        <f>'Invoice Data'!$B605+'Invoice Data'!$D605-'Invoice Data'!$G605-'Invoice Data'!$K605+'Invoice Data'!$H605</f>
        <v>5049</v>
      </c>
      <c r="M605" s="6" t="e">
        <f>VLOOKUP('Invoice Data'!$A605,BPay!$B$4:$D$10,3,0)</f>
        <v>#N/A</v>
      </c>
      <c r="N605" s="8"/>
    </row>
    <row r="606" spans="1:14" x14ac:dyDescent="0.3">
      <c r="A606" s="12">
        <v>36413</v>
      </c>
      <c r="B606" s="6">
        <v>0</v>
      </c>
      <c r="C606" s="7"/>
      <c r="D606" s="6">
        <v>10003</v>
      </c>
      <c r="E606" s="7">
        <v>2</v>
      </c>
      <c r="F606" s="7" t="str">
        <f t="shared" si="36"/>
        <v>Y</v>
      </c>
      <c r="G606" s="6">
        <f t="shared" si="37"/>
        <v>500.15000000000003</v>
      </c>
      <c r="H606" s="6">
        <f t="shared" si="38"/>
        <v>0</v>
      </c>
      <c r="I606" s="7">
        <v>5</v>
      </c>
      <c r="J606" s="7"/>
      <c r="K606" s="6">
        <f t="shared" si="39"/>
        <v>0</v>
      </c>
      <c r="L606" s="6">
        <f>'Invoice Data'!$B606+'Invoice Data'!$D606-'Invoice Data'!$G606-'Invoice Data'!$K606+'Invoice Data'!$H606</f>
        <v>9502.85</v>
      </c>
      <c r="M606" s="6" t="e">
        <f>VLOOKUP('Invoice Data'!$A606,BPay!$B$4:$D$10,3,0)</f>
        <v>#N/A</v>
      </c>
      <c r="N606" s="8"/>
    </row>
    <row r="607" spans="1:14" x14ac:dyDescent="0.3">
      <c r="A607" s="12">
        <v>36431</v>
      </c>
      <c r="B607" s="6">
        <v>0</v>
      </c>
      <c r="C607" s="7"/>
      <c r="D607" s="6">
        <v>7086</v>
      </c>
      <c r="E607" s="7">
        <v>2</v>
      </c>
      <c r="F607" s="7" t="str">
        <f t="shared" si="36"/>
        <v>Y</v>
      </c>
      <c r="G607" s="6">
        <f t="shared" si="37"/>
        <v>354.3</v>
      </c>
      <c r="H607" s="6">
        <f t="shared" si="38"/>
        <v>0</v>
      </c>
      <c r="I607" s="7">
        <v>4</v>
      </c>
      <c r="J607" s="7"/>
      <c r="K607" s="6">
        <f t="shared" si="39"/>
        <v>0</v>
      </c>
      <c r="L607" s="6">
        <f>'Invoice Data'!$B607+'Invoice Data'!$D607-'Invoice Data'!$G607-'Invoice Data'!$K607+'Invoice Data'!$H607</f>
        <v>6731.7</v>
      </c>
      <c r="M607" s="6" t="e">
        <f>VLOOKUP('Invoice Data'!$A607,BPay!$B$4:$D$10,3,0)</f>
        <v>#N/A</v>
      </c>
      <c r="N607" s="8"/>
    </row>
    <row r="608" spans="1:14" x14ac:dyDescent="0.3">
      <c r="A608" s="12">
        <v>36440</v>
      </c>
      <c r="B608" s="6">
        <v>0</v>
      </c>
      <c r="C608" s="7"/>
      <c r="D608" s="6">
        <v>8436</v>
      </c>
      <c r="E608" s="7">
        <v>2</v>
      </c>
      <c r="F608" s="7" t="str">
        <f t="shared" si="36"/>
        <v>Y</v>
      </c>
      <c r="G608" s="6">
        <f t="shared" si="37"/>
        <v>421.8</v>
      </c>
      <c r="H608" s="6">
        <f t="shared" si="38"/>
        <v>0</v>
      </c>
      <c r="I608" s="7">
        <v>16</v>
      </c>
      <c r="J608" s="7"/>
      <c r="K608" s="6">
        <f t="shared" si="39"/>
        <v>250</v>
      </c>
      <c r="L608" s="6">
        <f>'Invoice Data'!$B608+'Invoice Data'!$D608-'Invoice Data'!$G608-'Invoice Data'!$K608+'Invoice Data'!$H608</f>
        <v>7764.2</v>
      </c>
      <c r="M608" s="6" t="e">
        <f>VLOOKUP('Invoice Data'!$A608,BPay!$B$4:$D$10,3,0)</f>
        <v>#N/A</v>
      </c>
      <c r="N608" s="8"/>
    </row>
    <row r="609" spans="1:14" x14ac:dyDescent="0.3">
      <c r="A609" s="12">
        <v>36459</v>
      </c>
      <c r="B609" s="6">
        <v>-1593</v>
      </c>
      <c r="C609" s="7" t="s">
        <v>7</v>
      </c>
      <c r="D609" s="6">
        <v>4730</v>
      </c>
      <c r="E609" s="7">
        <v>1</v>
      </c>
      <c r="F609" s="7" t="str">
        <f t="shared" si="36"/>
        <v/>
      </c>
      <c r="G609" s="6">
        <f t="shared" si="37"/>
        <v>0</v>
      </c>
      <c r="H609" s="6">
        <f t="shared" si="38"/>
        <v>0</v>
      </c>
      <c r="I609" s="7">
        <v>5</v>
      </c>
      <c r="J609" s="7"/>
      <c r="K609" s="6">
        <f t="shared" si="39"/>
        <v>0</v>
      </c>
      <c r="L609" s="6">
        <f>'Invoice Data'!$B609+'Invoice Data'!$D609-'Invoice Data'!$G609-'Invoice Data'!$K609+'Invoice Data'!$H609</f>
        <v>3137</v>
      </c>
      <c r="M609" s="6" t="e">
        <f>VLOOKUP('Invoice Data'!$A609,BPay!$B$4:$D$10,3,0)</f>
        <v>#N/A</v>
      </c>
      <c r="N609" s="8"/>
    </row>
    <row r="610" spans="1:14" x14ac:dyDescent="0.3">
      <c r="A610" s="12">
        <v>36468</v>
      </c>
      <c r="B610" s="6">
        <v>0</v>
      </c>
      <c r="C610" s="7"/>
      <c r="D610" s="6">
        <v>4774</v>
      </c>
      <c r="E610" s="7">
        <v>1</v>
      </c>
      <c r="F610" s="7" t="str">
        <f t="shared" si="36"/>
        <v/>
      </c>
      <c r="G610" s="6">
        <f t="shared" si="37"/>
        <v>0</v>
      </c>
      <c r="H610" s="6">
        <f t="shared" si="38"/>
        <v>0</v>
      </c>
      <c r="I610" s="7">
        <v>11</v>
      </c>
      <c r="J610" s="7"/>
      <c r="K610" s="6">
        <f t="shared" si="39"/>
        <v>0</v>
      </c>
      <c r="L610" s="6">
        <f>'Invoice Data'!$B610+'Invoice Data'!$D610-'Invoice Data'!$G610-'Invoice Data'!$K610+'Invoice Data'!$H610</f>
        <v>4774</v>
      </c>
      <c r="M610" s="6" t="e">
        <f>VLOOKUP('Invoice Data'!$A610,BPay!$B$4:$D$10,3,0)</f>
        <v>#N/A</v>
      </c>
      <c r="N610" s="8"/>
    </row>
    <row r="611" spans="1:14" x14ac:dyDescent="0.3">
      <c r="A611" s="12">
        <v>36477</v>
      </c>
      <c r="B611" s="6">
        <v>0</v>
      </c>
      <c r="C611" s="7"/>
      <c r="D611" s="6">
        <v>3899</v>
      </c>
      <c r="E611" s="7">
        <v>1</v>
      </c>
      <c r="F611" s="7" t="str">
        <f t="shared" si="36"/>
        <v/>
      </c>
      <c r="G611" s="6">
        <f t="shared" si="37"/>
        <v>0</v>
      </c>
      <c r="H611" s="6">
        <f t="shared" si="38"/>
        <v>0</v>
      </c>
      <c r="I611" s="7">
        <v>3</v>
      </c>
      <c r="J611" s="7"/>
      <c r="K611" s="6">
        <f t="shared" si="39"/>
        <v>0</v>
      </c>
      <c r="L611" s="6">
        <f>'Invoice Data'!$B611+'Invoice Data'!$D611-'Invoice Data'!$G611-'Invoice Data'!$K611+'Invoice Data'!$H611</f>
        <v>3899</v>
      </c>
      <c r="M611" s="6" t="e">
        <f>VLOOKUP('Invoice Data'!$A611,BPay!$B$4:$D$10,3,0)</f>
        <v>#N/A</v>
      </c>
      <c r="N611" s="8"/>
    </row>
    <row r="612" spans="1:14" x14ac:dyDescent="0.3">
      <c r="A612" s="12">
        <v>36486</v>
      </c>
      <c r="B612" s="6">
        <v>0</v>
      </c>
      <c r="C612" s="7"/>
      <c r="D612" s="6">
        <v>3237</v>
      </c>
      <c r="E612" s="7">
        <v>1</v>
      </c>
      <c r="F612" s="7" t="str">
        <f t="shared" si="36"/>
        <v/>
      </c>
      <c r="G612" s="6">
        <f t="shared" si="37"/>
        <v>0</v>
      </c>
      <c r="H612" s="6">
        <f t="shared" si="38"/>
        <v>0</v>
      </c>
      <c r="I612" s="7">
        <v>6</v>
      </c>
      <c r="J612" s="7"/>
      <c r="K612" s="6">
        <f t="shared" si="39"/>
        <v>0</v>
      </c>
      <c r="L612" s="6">
        <f>'Invoice Data'!$B612+'Invoice Data'!$D612-'Invoice Data'!$G612-'Invoice Data'!$K612+'Invoice Data'!$H612</f>
        <v>3237</v>
      </c>
      <c r="M612" s="6" t="e">
        <f>VLOOKUP('Invoice Data'!$A612,BPay!$B$4:$D$10,3,0)</f>
        <v>#N/A</v>
      </c>
      <c r="N612" s="8"/>
    </row>
    <row r="613" spans="1:14" x14ac:dyDescent="0.3">
      <c r="A613" s="12">
        <v>36495</v>
      </c>
      <c r="B613" s="6">
        <v>0</v>
      </c>
      <c r="C613" s="7"/>
      <c r="D613" s="6">
        <v>7426</v>
      </c>
      <c r="E613" s="7">
        <v>2</v>
      </c>
      <c r="F613" s="7" t="str">
        <f t="shared" si="36"/>
        <v>Y</v>
      </c>
      <c r="G613" s="6">
        <f t="shared" si="37"/>
        <v>371.3</v>
      </c>
      <c r="H613" s="6">
        <f t="shared" si="38"/>
        <v>0</v>
      </c>
      <c r="I613" s="7">
        <v>10</v>
      </c>
      <c r="J613" s="7"/>
      <c r="K613" s="6">
        <f t="shared" si="39"/>
        <v>0</v>
      </c>
      <c r="L613" s="6">
        <f>'Invoice Data'!$B613+'Invoice Data'!$D613-'Invoice Data'!$G613-'Invoice Data'!$K613+'Invoice Data'!$H613</f>
        <v>7054.7</v>
      </c>
      <c r="M613" s="6" t="e">
        <f>VLOOKUP('Invoice Data'!$A613,BPay!$B$4:$D$10,3,0)</f>
        <v>#N/A</v>
      </c>
      <c r="N613" s="8"/>
    </row>
    <row r="614" spans="1:14" x14ac:dyDescent="0.3">
      <c r="A614" s="12">
        <v>36501</v>
      </c>
      <c r="B614" s="6">
        <v>0</v>
      </c>
      <c r="C614" s="7"/>
      <c r="D614" s="6">
        <v>9563</v>
      </c>
      <c r="E614" s="7">
        <v>2</v>
      </c>
      <c r="F614" s="7" t="str">
        <f t="shared" si="36"/>
        <v>Y</v>
      </c>
      <c r="G614" s="6">
        <f t="shared" si="37"/>
        <v>478.15000000000003</v>
      </c>
      <c r="H614" s="6">
        <f t="shared" si="38"/>
        <v>0</v>
      </c>
      <c r="I614" s="7">
        <v>2</v>
      </c>
      <c r="J614" s="7"/>
      <c r="K614" s="6">
        <f t="shared" si="39"/>
        <v>0</v>
      </c>
      <c r="L614" s="6">
        <f>'Invoice Data'!$B614+'Invoice Data'!$D614-'Invoice Data'!$G614-'Invoice Data'!$K614+'Invoice Data'!$H614</f>
        <v>9084.85</v>
      </c>
      <c r="M614" s="6" t="e">
        <f>VLOOKUP('Invoice Data'!$A614,BPay!$B$4:$D$10,3,0)</f>
        <v>#N/A</v>
      </c>
      <c r="N614" s="8"/>
    </row>
    <row r="615" spans="1:14" x14ac:dyDescent="0.3">
      <c r="A615" s="12">
        <v>36510</v>
      </c>
      <c r="B615" s="6">
        <v>0</v>
      </c>
      <c r="C615" s="7"/>
      <c r="D615" s="6">
        <v>6798</v>
      </c>
      <c r="E615" s="7">
        <v>2</v>
      </c>
      <c r="F615" s="7" t="str">
        <f t="shared" si="36"/>
        <v>Y</v>
      </c>
      <c r="G615" s="6">
        <f t="shared" si="37"/>
        <v>339.90000000000003</v>
      </c>
      <c r="H615" s="6">
        <f t="shared" si="38"/>
        <v>0</v>
      </c>
      <c r="I615" s="7">
        <v>16</v>
      </c>
      <c r="J615" s="7"/>
      <c r="K615" s="6">
        <f t="shared" si="39"/>
        <v>250</v>
      </c>
      <c r="L615" s="6">
        <f>'Invoice Data'!$B615+'Invoice Data'!$D615-'Invoice Data'!$G615-'Invoice Data'!$K615+'Invoice Data'!$H615</f>
        <v>6208.1</v>
      </c>
      <c r="M615" s="6" t="e">
        <f>VLOOKUP('Invoice Data'!$A615,BPay!$B$4:$D$10,3,0)</f>
        <v>#N/A</v>
      </c>
      <c r="N615" s="8"/>
    </row>
    <row r="616" spans="1:14" x14ac:dyDescent="0.3">
      <c r="A616" s="12">
        <v>36529</v>
      </c>
      <c r="B616" s="6">
        <v>0</v>
      </c>
      <c r="C616" s="7"/>
      <c r="D616" s="6">
        <v>6686</v>
      </c>
      <c r="E616" s="7">
        <v>2</v>
      </c>
      <c r="F616" s="7" t="str">
        <f t="shared" si="36"/>
        <v>Y</v>
      </c>
      <c r="G616" s="6">
        <f t="shared" si="37"/>
        <v>334.3</v>
      </c>
      <c r="H616" s="6">
        <f t="shared" si="38"/>
        <v>0</v>
      </c>
      <c r="I616" s="7">
        <v>5</v>
      </c>
      <c r="J616" s="7"/>
      <c r="K616" s="6">
        <f t="shared" si="39"/>
        <v>0</v>
      </c>
      <c r="L616" s="6">
        <f>'Invoice Data'!$B616+'Invoice Data'!$D616-'Invoice Data'!$G616-'Invoice Data'!$K616+'Invoice Data'!$H616</f>
        <v>6351.7</v>
      </c>
      <c r="M616" s="6" t="e">
        <f>VLOOKUP('Invoice Data'!$A616,BPay!$B$4:$D$10,3,0)</f>
        <v>#N/A</v>
      </c>
      <c r="N616" s="8"/>
    </row>
    <row r="617" spans="1:14" x14ac:dyDescent="0.3">
      <c r="A617" s="12">
        <v>36538</v>
      </c>
      <c r="B617" s="6">
        <v>0</v>
      </c>
      <c r="C617" s="7"/>
      <c r="D617" s="6">
        <v>9783</v>
      </c>
      <c r="E617" s="7">
        <v>2</v>
      </c>
      <c r="F617" s="7" t="str">
        <f t="shared" si="36"/>
        <v>Y</v>
      </c>
      <c r="G617" s="6">
        <f t="shared" si="37"/>
        <v>489.15000000000003</v>
      </c>
      <c r="H617" s="6">
        <f t="shared" si="38"/>
        <v>0</v>
      </c>
      <c r="I617" s="7">
        <v>14</v>
      </c>
      <c r="J617" s="7"/>
      <c r="K617" s="6">
        <f t="shared" si="39"/>
        <v>0</v>
      </c>
      <c r="L617" s="6">
        <f>'Invoice Data'!$B617+'Invoice Data'!$D617-'Invoice Data'!$G617-'Invoice Data'!$K617+'Invoice Data'!$H617</f>
        <v>9293.85</v>
      </c>
      <c r="M617" s="6" t="e">
        <f>VLOOKUP('Invoice Data'!$A617,BPay!$B$4:$D$10,3,0)</f>
        <v>#N/A</v>
      </c>
      <c r="N617" s="8"/>
    </row>
    <row r="618" spans="1:14" x14ac:dyDescent="0.3">
      <c r="A618" s="12">
        <v>36547</v>
      </c>
      <c r="B618" s="6">
        <v>0</v>
      </c>
      <c r="C618" s="7"/>
      <c r="D618" s="6">
        <v>7562</v>
      </c>
      <c r="E618" s="7">
        <v>2</v>
      </c>
      <c r="F618" s="7" t="str">
        <f t="shared" si="36"/>
        <v>Y</v>
      </c>
      <c r="G618" s="6">
        <f t="shared" si="37"/>
        <v>378.1</v>
      </c>
      <c r="H618" s="6">
        <f t="shared" si="38"/>
        <v>0</v>
      </c>
      <c r="I618" s="7">
        <v>0</v>
      </c>
      <c r="J618" s="7"/>
      <c r="K618" s="6">
        <f t="shared" si="39"/>
        <v>0</v>
      </c>
      <c r="L618" s="6">
        <f>'Invoice Data'!$B618+'Invoice Data'!$D618-'Invoice Data'!$G618-'Invoice Data'!$K618+'Invoice Data'!$H618</f>
        <v>7183.9</v>
      </c>
      <c r="M618" s="6" t="e">
        <f>VLOOKUP('Invoice Data'!$A618,BPay!$B$4:$D$10,3,0)</f>
        <v>#N/A</v>
      </c>
      <c r="N618" s="8"/>
    </row>
    <row r="619" spans="1:14" x14ac:dyDescent="0.3">
      <c r="A619" s="12">
        <v>36556</v>
      </c>
      <c r="B619" s="6">
        <v>0</v>
      </c>
      <c r="C619" s="7"/>
      <c r="D619" s="6">
        <v>3600</v>
      </c>
      <c r="E619" s="7">
        <v>1</v>
      </c>
      <c r="F619" s="7" t="str">
        <f t="shared" si="36"/>
        <v/>
      </c>
      <c r="G619" s="6">
        <f t="shared" si="37"/>
        <v>0</v>
      </c>
      <c r="H619" s="6">
        <f t="shared" si="38"/>
        <v>0</v>
      </c>
      <c r="I619" s="7">
        <v>8</v>
      </c>
      <c r="J619" s="7"/>
      <c r="K619" s="6">
        <f t="shared" si="39"/>
        <v>0</v>
      </c>
      <c r="L619" s="6">
        <f>'Invoice Data'!$B619+'Invoice Data'!$D619-'Invoice Data'!$G619-'Invoice Data'!$K619+'Invoice Data'!$H619</f>
        <v>3600</v>
      </c>
      <c r="M619" s="6" t="e">
        <f>VLOOKUP('Invoice Data'!$A619,BPay!$B$4:$D$10,3,0)</f>
        <v>#N/A</v>
      </c>
      <c r="N619" s="8"/>
    </row>
    <row r="620" spans="1:14" x14ac:dyDescent="0.3">
      <c r="A620" s="12">
        <v>36565</v>
      </c>
      <c r="B620" s="6">
        <v>0</v>
      </c>
      <c r="C620" s="7"/>
      <c r="D620" s="6">
        <v>8292</v>
      </c>
      <c r="E620" s="7">
        <v>2</v>
      </c>
      <c r="F620" s="7" t="str">
        <f t="shared" si="36"/>
        <v>Y</v>
      </c>
      <c r="G620" s="6">
        <f t="shared" si="37"/>
        <v>414.6</v>
      </c>
      <c r="H620" s="6">
        <f t="shared" si="38"/>
        <v>0</v>
      </c>
      <c r="I620" s="7">
        <v>5</v>
      </c>
      <c r="J620" s="7"/>
      <c r="K620" s="6">
        <f t="shared" si="39"/>
        <v>0</v>
      </c>
      <c r="L620" s="6">
        <f>'Invoice Data'!$B620+'Invoice Data'!$D620-'Invoice Data'!$G620-'Invoice Data'!$K620+'Invoice Data'!$H620</f>
        <v>7877.4</v>
      </c>
      <c r="M620" s="6" t="e">
        <f>VLOOKUP('Invoice Data'!$A620,BPay!$B$4:$D$10,3,0)</f>
        <v>#N/A</v>
      </c>
      <c r="N620" s="8"/>
    </row>
    <row r="621" spans="1:14" x14ac:dyDescent="0.3">
      <c r="A621" s="12">
        <v>36574</v>
      </c>
      <c r="B621" s="6">
        <v>0</v>
      </c>
      <c r="C621" s="7"/>
      <c r="D621" s="6">
        <v>9653</v>
      </c>
      <c r="E621" s="7">
        <v>2</v>
      </c>
      <c r="F621" s="7" t="str">
        <f t="shared" si="36"/>
        <v>Y</v>
      </c>
      <c r="G621" s="6">
        <f t="shared" si="37"/>
        <v>482.65000000000003</v>
      </c>
      <c r="H621" s="6">
        <f t="shared" si="38"/>
        <v>0</v>
      </c>
      <c r="I621" s="7">
        <v>11</v>
      </c>
      <c r="J621" s="7"/>
      <c r="K621" s="6">
        <f t="shared" si="39"/>
        <v>0</v>
      </c>
      <c r="L621" s="6">
        <f>'Invoice Data'!$B621+'Invoice Data'!$D621-'Invoice Data'!$G621-'Invoice Data'!$K621+'Invoice Data'!$H621</f>
        <v>9170.35</v>
      </c>
      <c r="M621" s="6" t="e">
        <f>VLOOKUP('Invoice Data'!$A621,BPay!$B$4:$D$10,3,0)</f>
        <v>#N/A</v>
      </c>
      <c r="N621" s="8"/>
    </row>
    <row r="622" spans="1:14" x14ac:dyDescent="0.3">
      <c r="A622" s="12">
        <v>36583</v>
      </c>
      <c r="B622" s="6">
        <v>0</v>
      </c>
      <c r="C622" s="7"/>
      <c r="D622" s="6">
        <v>4107</v>
      </c>
      <c r="E622" s="7">
        <v>1</v>
      </c>
      <c r="F622" s="7" t="str">
        <f t="shared" si="36"/>
        <v/>
      </c>
      <c r="G622" s="6">
        <f t="shared" si="37"/>
        <v>0</v>
      </c>
      <c r="H622" s="6">
        <f t="shared" si="38"/>
        <v>0</v>
      </c>
      <c r="I622" s="7">
        <v>0</v>
      </c>
      <c r="J622" s="7"/>
      <c r="K622" s="6">
        <f t="shared" si="39"/>
        <v>0</v>
      </c>
      <c r="L622" s="6">
        <f>'Invoice Data'!$B622+'Invoice Data'!$D622-'Invoice Data'!$G622-'Invoice Data'!$K622+'Invoice Data'!$H622</f>
        <v>4107</v>
      </c>
      <c r="M622" s="6" t="e">
        <f>VLOOKUP('Invoice Data'!$A622,BPay!$B$4:$D$10,3,0)</f>
        <v>#N/A</v>
      </c>
      <c r="N622" s="8"/>
    </row>
    <row r="623" spans="1:14" x14ac:dyDescent="0.3">
      <c r="A623" s="12">
        <v>36592</v>
      </c>
      <c r="B623" s="6">
        <v>0</v>
      </c>
      <c r="C623" s="7"/>
      <c r="D623" s="6">
        <v>8039</v>
      </c>
      <c r="E623" s="7">
        <v>2</v>
      </c>
      <c r="F623" s="7" t="str">
        <f t="shared" si="36"/>
        <v>Y</v>
      </c>
      <c r="G623" s="6">
        <f t="shared" si="37"/>
        <v>401.95000000000005</v>
      </c>
      <c r="H623" s="6">
        <f t="shared" si="38"/>
        <v>0</v>
      </c>
      <c r="I623" s="7">
        <v>13</v>
      </c>
      <c r="J623" s="7"/>
      <c r="K623" s="6">
        <f t="shared" si="39"/>
        <v>0</v>
      </c>
      <c r="L623" s="6">
        <f>'Invoice Data'!$B623+'Invoice Data'!$D623-'Invoice Data'!$G623-'Invoice Data'!$K623+'Invoice Data'!$H623</f>
        <v>7637.05</v>
      </c>
      <c r="M623" s="6" t="e">
        <f>VLOOKUP('Invoice Data'!$A623,BPay!$B$4:$D$10,3,0)</f>
        <v>#N/A</v>
      </c>
      <c r="N623" s="8"/>
    </row>
    <row r="624" spans="1:14" x14ac:dyDescent="0.3">
      <c r="A624" s="12">
        <v>36609</v>
      </c>
      <c r="B624" s="6">
        <v>0</v>
      </c>
      <c r="C624" s="7"/>
      <c r="D624" s="6">
        <v>7100</v>
      </c>
      <c r="E624" s="7">
        <v>2</v>
      </c>
      <c r="F624" s="7" t="str">
        <f t="shared" si="36"/>
        <v>Y</v>
      </c>
      <c r="G624" s="6">
        <f t="shared" si="37"/>
        <v>355</v>
      </c>
      <c r="H624" s="6">
        <f t="shared" si="38"/>
        <v>0</v>
      </c>
      <c r="I624" s="7">
        <v>16</v>
      </c>
      <c r="J624" s="7"/>
      <c r="K624" s="6">
        <f t="shared" si="39"/>
        <v>250</v>
      </c>
      <c r="L624" s="6">
        <f>'Invoice Data'!$B624+'Invoice Data'!$D624-'Invoice Data'!$G624-'Invoice Data'!$K624+'Invoice Data'!$H624</f>
        <v>6495</v>
      </c>
      <c r="M624" s="6" t="e">
        <f>VLOOKUP('Invoice Data'!$A624,BPay!$B$4:$D$10,3,0)</f>
        <v>#N/A</v>
      </c>
      <c r="N624" s="8"/>
    </row>
    <row r="625" spans="1:14" x14ac:dyDescent="0.3">
      <c r="A625" s="12">
        <v>36618</v>
      </c>
      <c r="B625" s="6">
        <v>0</v>
      </c>
      <c r="C625" s="7"/>
      <c r="D625" s="6">
        <v>8693</v>
      </c>
      <c r="E625" s="7">
        <v>2</v>
      </c>
      <c r="F625" s="7" t="str">
        <f t="shared" si="36"/>
        <v>Y</v>
      </c>
      <c r="G625" s="6">
        <f t="shared" si="37"/>
        <v>434.65000000000003</v>
      </c>
      <c r="H625" s="6">
        <f t="shared" si="38"/>
        <v>0</v>
      </c>
      <c r="I625" s="7">
        <v>15</v>
      </c>
      <c r="J625" s="7"/>
      <c r="K625" s="6">
        <f t="shared" si="39"/>
        <v>0</v>
      </c>
      <c r="L625" s="6">
        <f>'Invoice Data'!$B625+'Invoice Data'!$D625-'Invoice Data'!$G625-'Invoice Data'!$K625+'Invoice Data'!$H625</f>
        <v>8258.35</v>
      </c>
      <c r="M625" s="6" t="e">
        <f>VLOOKUP('Invoice Data'!$A625,BPay!$B$4:$D$10,3,0)</f>
        <v>#N/A</v>
      </c>
      <c r="N625" s="8"/>
    </row>
    <row r="626" spans="1:14" x14ac:dyDescent="0.3">
      <c r="A626" s="12">
        <v>36627</v>
      </c>
      <c r="B626" s="6">
        <v>0</v>
      </c>
      <c r="C626" s="7"/>
      <c r="D626" s="6">
        <v>5097</v>
      </c>
      <c r="E626" s="7">
        <v>1</v>
      </c>
      <c r="F626" s="7" t="str">
        <f t="shared" si="36"/>
        <v/>
      </c>
      <c r="G626" s="6">
        <f t="shared" si="37"/>
        <v>0</v>
      </c>
      <c r="H626" s="6">
        <f t="shared" si="38"/>
        <v>0</v>
      </c>
      <c r="I626" s="7">
        <v>3</v>
      </c>
      <c r="J626" s="7"/>
      <c r="K626" s="6">
        <f t="shared" si="39"/>
        <v>0</v>
      </c>
      <c r="L626" s="6">
        <f>'Invoice Data'!$B626+'Invoice Data'!$D626-'Invoice Data'!$G626-'Invoice Data'!$K626+'Invoice Data'!$H626</f>
        <v>5097</v>
      </c>
      <c r="M626" s="6" t="e">
        <f>VLOOKUP('Invoice Data'!$A626,BPay!$B$4:$D$10,3,0)</f>
        <v>#N/A</v>
      </c>
      <c r="N626" s="8"/>
    </row>
    <row r="627" spans="1:14" x14ac:dyDescent="0.3">
      <c r="A627" s="12">
        <v>36636</v>
      </c>
      <c r="B627" s="6">
        <v>0</v>
      </c>
      <c r="C627" s="7"/>
      <c r="D627" s="6">
        <v>9941</v>
      </c>
      <c r="E627" s="7">
        <v>2</v>
      </c>
      <c r="F627" s="7" t="str">
        <f t="shared" si="36"/>
        <v>Y</v>
      </c>
      <c r="G627" s="6">
        <f t="shared" si="37"/>
        <v>497.05</v>
      </c>
      <c r="H627" s="6">
        <f t="shared" si="38"/>
        <v>0</v>
      </c>
      <c r="I627" s="7">
        <v>11</v>
      </c>
      <c r="J627" s="7"/>
      <c r="K627" s="6">
        <f t="shared" si="39"/>
        <v>0</v>
      </c>
      <c r="L627" s="6">
        <f>'Invoice Data'!$B627+'Invoice Data'!$D627-'Invoice Data'!$G627-'Invoice Data'!$K627+'Invoice Data'!$H627</f>
        <v>9443.9500000000007</v>
      </c>
      <c r="M627" s="6" t="e">
        <f>VLOOKUP('Invoice Data'!$A627,BPay!$B$4:$D$10,3,0)</f>
        <v>#N/A</v>
      </c>
      <c r="N627" s="8"/>
    </row>
    <row r="628" spans="1:14" x14ac:dyDescent="0.3">
      <c r="A628" s="12">
        <v>36645</v>
      </c>
      <c r="B628" s="6">
        <v>0</v>
      </c>
      <c r="C628" s="7"/>
      <c r="D628" s="6">
        <v>10294</v>
      </c>
      <c r="E628" s="7">
        <v>2</v>
      </c>
      <c r="F628" s="7" t="str">
        <f t="shared" si="36"/>
        <v>Y</v>
      </c>
      <c r="G628" s="6">
        <f t="shared" si="37"/>
        <v>514.70000000000005</v>
      </c>
      <c r="H628" s="6">
        <f t="shared" si="38"/>
        <v>0</v>
      </c>
      <c r="I628" s="7">
        <v>12</v>
      </c>
      <c r="J628" s="7"/>
      <c r="K628" s="6">
        <f t="shared" si="39"/>
        <v>0</v>
      </c>
      <c r="L628" s="6">
        <f>'Invoice Data'!$B628+'Invoice Data'!$D628-'Invoice Data'!$G628-'Invoice Data'!$K628+'Invoice Data'!$H628</f>
        <v>9779.2999999999993</v>
      </c>
      <c r="M628" s="6" t="e">
        <f>VLOOKUP('Invoice Data'!$A628,BPay!$B$4:$D$10,3,0)</f>
        <v>#N/A</v>
      </c>
      <c r="N628" s="8"/>
    </row>
    <row r="629" spans="1:14" x14ac:dyDescent="0.3">
      <c r="A629" s="12">
        <v>36654</v>
      </c>
      <c r="B629" s="6">
        <v>0</v>
      </c>
      <c r="C629" s="7"/>
      <c r="D629" s="6">
        <v>9733</v>
      </c>
      <c r="E629" s="7">
        <v>2</v>
      </c>
      <c r="F629" s="7" t="str">
        <f t="shared" si="36"/>
        <v>Y</v>
      </c>
      <c r="G629" s="6">
        <f t="shared" si="37"/>
        <v>486.65000000000003</v>
      </c>
      <c r="H629" s="6">
        <f t="shared" si="38"/>
        <v>0</v>
      </c>
      <c r="I629" s="7">
        <v>9</v>
      </c>
      <c r="J629" s="7"/>
      <c r="K629" s="6">
        <f t="shared" si="39"/>
        <v>0</v>
      </c>
      <c r="L629" s="6">
        <f>'Invoice Data'!$B629+'Invoice Data'!$D629-'Invoice Data'!$G629-'Invoice Data'!$K629+'Invoice Data'!$H629</f>
        <v>9246.35</v>
      </c>
      <c r="M629" s="6" t="e">
        <f>VLOOKUP('Invoice Data'!$A629,BPay!$B$4:$D$10,3,0)</f>
        <v>#N/A</v>
      </c>
      <c r="N629" s="8"/>
    </row>
    <row r="630" spans="1:14" x14ac:dyDescent="0.3">
      <c r="A630" s="12">
        <v>36663</v>
      </c>
      <c r="B630" s="6">
        <v>0</v>
      </c>
      <c r="C630" s="7"/>
      <c r="D630" s="6">
        <v>8255</v>
      </c>
      <c r="E630" s="7">
        <v>2</v>
      </c>
      <c r="F630" s="7" t="str">
        <f t="shared" si="36"/>
        <v>Y</v>
      </c>
      <c r="G630" s="6">
        <f t="shared" si="37"/>
        <v>412.75</v>
      </c>
      <c r="H630" s="6">
        <f t="shared" si="38"/>
        <v>0</v>
      </c>
      <c r="I630" s="7">
        <v>6</v>
      </c>
      <c r="J630" s="7"/>
      <c r="K630" s="6">
        <f t="shared" si="39"/>
        <v>0</v>
      </c>
      <c r="L630" s="6">
        <f>'Invoice Data'!$B630+'Invoice Data'!$D630-'Invoice Data'!$G630-'Invoice Data'!$K630+'Invoice Data'!$H630</f>
        <v>7842.25</v>
      </c>
      <c r="M630" s="6" t="e">
        <f>VLOOKUP('Invoice Data'!$A630,BPay!$B$4:$D$10,3,0)</f>
        <v>#N/A</v>
      </c>
      <c r="N630" s="8"/>
    </row>
    <row r="631" spans="1:14" x14ac:dyDescent="0.3">
      <c r="A631" s="12">
        <v>36672</v>
      </c>
      <c r="B631" s="6">
        <v>0</v>
      </c>
      <c r="C631" s="7"/>
      <c r="D631" s="6">
        <v>7159</v>
      </c>
      <c r="E631" s="7">
        <v>2</v>
      </c>
      <c r="F631" s="7" t="str">
        <f t="shared" si="36"/>
        <v>Y</v>
      </c>
      <c r="G631" s="6">
        <f t="shared" si="37"/>
        <v>357.95000000000005</v>
      </c>
      <c r="H631" s="6">
        <f t="shared" si="38"/>
        <v>0</v>
      </c>
      <c r="I631" s="7">
        <v>9</v>
      </c>
      <c r="J631" s="7"/>
      <c r="K631" s="6">
        <f t="shared" si="39"/>
        <v>0</v>
      </c>
      <c r="L631" s="6">
        <f>'Invoice Data'!$B631+'Invoice Data'!$D631-'Invoice Data'!$G631-'Invoice Data'!$K631+'Invoice Data'!$H631</f>
        <v>6801.05</v>
      </c>
      <c r="M631" s="6" t="e">
        <f>VLOOKUP('Invoice Data'!$A631,BPay!$B$4:$D$10,3,0)</f>
        <v>#N/A</v>
      </c>
      <c r="N631" s="8"/>
    </row>
    <row r="632" spans="1:14" x14ac:dyDescent="0.3">
      <c r="A632" s="12">
        <v>36681</v>
      </c>
      <c r="B632" s="6">
        <v>0</v>
      </c>
      <c r="C632" s="7"/>
      <c r="D632" s="6">
        <v>5033</v>
      </c>
      <c r="E632" s="7">
        <v>1</v>
      </c>
      <c r="F632" s="7" t="str">
        <f t="shared" si="36"/>
        <v/>
      </c>
      <c r="G632" s="6">
        <f t="shared" si="37"/>
        <v>0</v>
      </c>
      <c r="H632" s="6">
        <f t="shared" si="38"/>
        <v>0</v>
      </c>
      <c r="I632" s="7">
        <v>4</v>
      </c>
      <c r="J632" s="7"/>
      <c r="K632" s="6">
        <f t="shared" si="39"/>
        <v>0</v>
      </c>
      <c r="L632" s="6">
        <f>'Invoice Data'!$B632+'Invoice Data'!$D632-'Invoice Data'!$G632-'Invoice Data'!$K632+'Invoice Data'!$H632</f>
        <v>5033</v>
      </c>
      <c r="M632" s="6" t="e">
        <f>VLOOKUP('Invoice Data'!$A632,BPay!$B$4:$D$10,3,0)</f>
        <v>#N/A</v>
      </c>
      <c r="N632" s="8"/>
    </row>
    <row r="633" spans="1:14" x14ac:dyDescent="0.3">
      <c r="A633" s="12">
        <v>36690</v>
      </c>
      <c r="B633" s="6">
        <v>0</v>
      </c>
      <c r="C633" s="7"/>
      <c r="D633" s="6">
        <v>4344</v>
      </c>
      <c r="E633" s="7">
        <v>1</v>
      </c>
      <c r="F633" s="7" t="str">
        <f t="shared" si="36"/>
        <v/>
      </c>
      <c r="G633" s="6">
        <f t="shared" si="37"/>
        <v>0</v>
      </c>
      <c r="H633" s="6">
        <f t="shared" si="38"/>
        <v>0</v>
      </c>
      <c r="I633" s="7">
        <v>16</v>
      </c>
      <c r="J633" s="7"/>
      <c r="K633" s="6">
        <f t="shared" si="39"/>
        <v>250</v>
      </c>
      <c r="L633" s="6">
        <f>'Invoice Data'!$B633+'Invoice Data'!$D633-'Invoice Data'!$G633-'Invoice Data'!$K633+'Invoice Data'!$H633</f>
        <v>4094</v>
      </c>
      <c r="M633" s="6" t="e">
        <f>VLOOKUP('Invoice Data'!$A633,BPay!$B$4:$D$10,3,0)</f>
        <v>#N/A</v>
      </c>
      <c r="N633" s="8"/>
    </row>
    <row r="634" spans="1:14" x14ac:dyDescent="0.3">
      <c r="A634" s="12">
        <v>36707</v>
      </c>
      <c r="B634" s="6">
        <v>0</v>
      </c>
      <c r="C634" s="7"/>
      <c r="D634" s="6">
        <v>10273</v>
      </c>
      <c r="E634" s="7">
        <v>2</v>
      </c>
      <c r="F634" s="7" t="str">
        <f t="shared" si="36"/>
        <v>Y</v>
      </c>
      <c r="G634" s="6">
        <f t="shared" si="37"/>
        <v>513.65</v>
      </c>
      <c r="H634" s="6">
        <f t="shared" si="38"/>
        <v>0</v>
      </c>
      <c r="I634" s="7">
        <v>7</v>
      </c>
      <c r="J634" s="7"/>
      <c r="K634" s="6">
        <f t="shared" si="39"/>
        <v>0</v>
      </c>
      <c r="L634" s="6">
        <f>'Invoice Data'!$B634+'Invoice Data'!$D634-'Invoice Data'!$G634-'Invoice Data'!$K634+'Invoice Data'!$H634</f>
        <v>9759.35</v>
      </c>
      <c r="M634" s="6" t="e">
        <f>VLOOKUP('Invoice Data'!$A634,BPay!$B$4:$D$10,3,0)</f>
        <v>#N/A</v>
      </c>
      <c r="N634" s="8"/>
    </row>
    <row r="635" spans="1:14" x14ac:dyDescent="0.3">
      <c r="A635" s="12">
        <v>36716</v>
      </c>
      <c r="B635" s="6">
        <v>0</v>
      </c>
      <c r="C635" s="7"/>
      <c r="D635" s="6">
        <v>10250</v>
      </c>
      <c r="E635" s="7">
        <v>2</v>
      </c>
      <c r="F635" s="7" t="str">
        <f t="shared" si="36"/>
        <v>Y</v>
      </c>
      <c r="G635" s="6">
        <f t="shared" si="37"/>
        <v>512.5</v>
      </c>
      <c r="H635" s="6">
        <f t="shared" si="38"/>
        <v>0</v>
      </c>
      <c r="I635" s="7">
        <v>15</v>
      </c>
      <c r="J635" s="7"/>
      <c r="K635" s="6">
        <f t="shared" si="39"/>
        <v>0</v>
      </c>
      <c r="L635" s="6">
        <f>'Invoice Data'!$B635+'Invoice Data'!$D635-'Invoice Data'!$G635-'Invoice Data'!$K635+'Invoice Data'!$H635</f>
        <v>9737.5</v>
      </c>
      <c r="M635" s="6" t="e">
        <f>VLOOKUP('Invoice Data'!$A635,BPay!$B$4:$D$10,3,0)</f>
        <v>#N/A</v>
      </c>
      <c r="N635" s="8"/>
    </row>
    <row r="636" spans="1:14" x14ac:dyDescent="0.3">
      <c r="A636" s="12">
        <v>36725</v>
      </c>
      <c r="B636" s="6">
        <v>0</v>
      </c>
      <c r="C636" s="7"/>
      <c r="D636" s="6">
        <v>4776</v>
      </c>
      <c r="E636" s="7">
        <v>1</v>
      </c>
      <c r="F636" s="7" t="str">
        <f t="shared" si="36"/>
        <v/>
      </c>
      <c r="G636" s="6">
        <f t="shared" si="37"/>
        <v>0</v>
      </c>
      <c r="H636" s="6">
        <f t="shared" si="38"/>
        <v>0</v>
      </c>
      <c r="I636" s="7">
        <v>10</v>
      </c>
      <c r="J636" s="7"/>
      <c r="K636" s="6">
        <f t="shared" si="39"/>
        <v>0</v>
      </c>
      <c r="L636" s="6">
        <f>'Invoice Data'!$B636+'Invoice Data'!$D636-'Invoice Data'!$G636-'Invoice Data'!$K636+'Invoice Data'!$H636</f>
        <v>4776</v>
      </c>
      <c r="M636" s="6" t="e">
        <f>VLOOKUP('Invoice Data'!$A636,BPay!$B$4:$D$10,3,0)</f>
        <v>#N/A</v>
      </c>
      <c r="N636" s="8"/>
    </row>
    <row r="637" spans="1:14" x14ac:dyDescent="0.3">
      <c r="A637" s="12">
        <v>36734</v>
      </c>
      <c r="B637" s="6">
        <v>0</v>
      </c>
      <c r="C637" s="7"/>
      <c r="D637" s="6">
        <v>3657</v>
      </c>
      <c r="E637" s="7">
        <v>1</v>
      </c>
      <c r="F637" s="7" t="str">
        <f t="shared" si="36"/>
        <v/>
      </c>
      <c r="G637" s="6">
        <f t="shared" si="37"/>
        <v>0</v>
      </c>
      <c r="H637" s="6">
        <f t="shared" si="38"/>
        <v>0</v>
      </c>
      <c r="I637" s="7">
        <v>2</v>
      </c>
      <c r="J637" s="7"/>
      <c r="K637" s="6">
        <f t="shared" si="39"/>
        <v>0</v>
      </c>
      <c r="L637" s="6">
        <f>'Invoice Data'!$B637+'Invoice Data'!$D637-'Invoice Data'!$G637-'Invoice Data'!$K637+'Invoice Data'!$H637</f>
        <v>3657</v>
      </c>
      <c r="M637" s="6" t="e">
        <f>VLOOKUP('Invoice Data'!$A637,BPay!$B$4:$D$10,3,0)</f>
        <v>#N/A</v>
      </c>
      <c r="N637" s="8"/>
    </row>
    <row r="638" spans="1:14" x14ac:dyDescent="0.3">
      <c r="A638" s="12">
        <v>36743</v>
      </c>
      <c r="B638" s="6">
        <v>0</v>
      </c>
      <c r="C638" s="7"/>
      <c r="D638" s="6">
        <v>4144</v>
      </c>
      <c r="E638" s="7">
        <v>1</v>
      </c>
      <c r="F638" s="7" t="str">
        <f t="shared" si="36"/>
        <v/>
      </c>
      <c r="G638" s="6">
        <f t="shared" si="37"/>
        <v>0</v>
      </c>
      <c r="H638" s="6">
        <f t="shared" si="38"/>
        <v>0</v>
      </c>
      <c r="I638" s="7">
        <v>9</v>
      </c>
      <c r="J638" s="7"/>
      <c r="K638" s="6">
        <f t="shared" si="39"/>
        <v>0</v>
      </c>
      <c r="L638" s="6">
        <f>'Invoice Data'!$B638+'Invoice Data'!$D638-'Invoice Data'!$G638-'Invoice Data'!$K638+'Invoice Data'!$H638</f>
        <v>4144</v>
      </c>
      <c r="M638" s="6" t="e">
        <f>VLOOKUP('Invoice Data'!$A638,BPay!$B$4:$D$10,3,0)</f>
        <v>#N/A</v>
      </c>
      <c r="N638" s="8"/>
    </row>
    <row r="639" spans="1:14" x14ac:dyDescent="0.3">
      <c r="A639" s="12">
        <v>36752</v>
      </c>
      <c r="B639" s="6">
        <v>0</v>
      </c>
      <c r="C639" s="7"/>
      <c r="D639" s="6">
        <v>7097</v>
      </c>
      <c r="E639" s="7">
        <v>2</v>
      </c>
      <c r="F639" s="7" t="str">
        <f t="shared" si="36"/>
        <v>Y</v>
      </c>
      <c r="G639" s="6">
        <f t="shared" si="37"/>
        <v>354.85</v>
      </c>
      <c r="H639" s="6">
        <f t="shared" si="38"/>
        <v>0</v>
      </c>
      <c r="I639" s="7">
        <v>5</v>
      </c>
      <c r="J639" s="7"/>
      <c r="K639" s="6">
        <f t="shared" si="39"/>
        <v>0</v>
      </c>
      <c r="L639" s="6">
        <f>'Invoice Data'!$B639+'Invoice Data'!$D639-'Invoice Data'!$G639-'Invoice Data'!$K639+'Invoice Data'!$H639</f>
        <v>6742.15</v>
      </c>
      <c r="M639" s="6" t="e">
        <f>VLOOKUP('Invoice Data'!$A639,BPay!$B$4:$D$10,3,0)</f>
        <v>#N/A</v>
      </c>
      <c r="N639" s="8"/>
    </row>
    <row r="640" spans="1:14" x14ac:dyDescent="0.3">
      <c r="A640" s="12">
        <v>36761</v>
      </c>
      <c r="B640" s="6">
        <v>0</v>
      </c>
      <c r="C640" s="7"/>
      <c r="D640" s="6">
        <v>9031</v>
      </c>
      <c r="E640" s="7">
        <v>2</v>
      </c>
      <c r="F640" s="7" t="str">
        <f t="shared" si="36"/>
        <v>Y</v>
      </c>
      <c r="G640" s="6">
        <f t="shared" si="37"/>
        <v>451.55</v>
      </c>
      <c r="H640" s="6">
        <f t="shared" si="38"/>
        <v>0</v>
      </c>
      <c r="I640" s="7">
        <v>16</v>
      </c>
      <c r="J640" s="7"/>
      <c r="K640" s="6">
        <f t="shared" si="39"/>
        <v>250</v>
      </c>
      <c r="L640" s="6">
        <f>'Invoice Data'!$B640+'Invoice Data'!$D640-'Invoice Data'!$G640-'Invoice Data'!$K640+'Invoice Data'!$H640</f>
        <v>8329.4500000000007</v>
      </c>
      <c r="M640" s="6" t="e">
        <f>VLOOKUP('Invoice Data'!$A640,BPay!$B$4:$D$10,3,0)</f>
        <v>#N/A</v>
      </c>
      <c r="N640" s="8"/>
    </row>
    <row r="641" spans="1:14" x14ac:dyDescent="0.3">
      <c r="A641" s="12">
        <v>36770</v>
      </c>
      <c r="B641" s="6">
        <v>0</v>
      </c>
      <c r="C641" s="7"/>
      <c r="D641" s="6">
        <v>4447</v>
      </c>
      <c r="E641" s="7">
        <v>1</v>
      </c>
      <c r="F641" s="7" t="str">
        <f t="shared" si="36"/>
        <v/>
      </c>
      <c r="G641" s="6">
        <f t="shared" si="37"/>
        <v>0</v>
      </c>
      <c r="H641" s="6">
        <f t="shared" si="38"/>
        <v>0</v>
      </c>
      <c r="I641" s="7">
        <v>0</v>
      </c>
      <c r="J641" s="7"/>
      <c r="K641" s="6">
        <f t="shared" si="39"/>
        <v>0</v>
      </c>
      <c r="L641" s="6">
        <f>'Invoice Data'!$B641+'Invoice Data'!$D641-'Invoice Data'!$G641-'Invoice Data'!$K641+'Invoice Data'!$H641</f>
        <v>4447</v>
      </c>
      <c r="M641" s="6" t="e">
        <f>VLOOKUP('Invoice Data'!$A641,BPay!$B$4:$D$10,3,0)</f>
        <v>#N/A</v>
      </c>
      <c r="N641" s="8"/>
    </row>
    <row r="642" spans="1:14" x14ac:dyDescent="0.3">
      <c r="A642" s="12">
        <v>36789</v>
      </c>
      <c r="B642" s="6">
        <v>0</v>
      </c>
      <c r="C642" s="7"/>
      <c r="D642" s="6">
        <v>10385</v>
      </c>
      <c r="E642" s="7">
        <v>2</v>
      </c>
      <c r="F642" s="7" t="str">
        <f t="shared" si="36"/>
        <v>Y</v>
      </c>
      <c r="G642" s="6">
        <f t="shared" si="37"/>
        <v>519.25</v>
      </c>
      <c r="H642" s="6">
        <f t="shared" si="38"/>
        <v>0</v>
      </c>
      <c r="I642" s="7">
        <v>3</v>
      </c>
      <c r="J642" s="7"/>
      <c r="K642" s="6">
        <f t="shared" si="39"/>
        <v>0</v>
      </c>
      <c r="L642" s="6">
        <f>'Invoice Data'!$B642+'Invoice Data'!$D642-'Invoice Data'!$G642-'Invoice Data'!$K642+'Invoice Data'!$H642</f>
        <v>9865.75</v>
      </c>
      <c r="M642" s="6" t="e">
        <f>VLOOKUP('Invoice Data'!$A642,BPay!$B$4:$D$10,3,0)</f>
        <v>#N/A</v>
      </c>
      <c r="N642" s="8"/>
    </row>
    <row r="643" spans="1:14" x14ac:dyDescent="0.3">
      <c r="A643" s="12">
        <v>36798</v>
      </c>
      <c r="B643" s="6">
        <v>0</v>
      </c>
      <c r="C643" s="7"/>
      <c r="D643" s="6">
        <v>3357</v>
      </c>
      <c r="E643" s="7">
        <v>1</v>
      </c>
      <c r="F643" s="7" t="str">
        <f t="shared" si="36"/>
        <v/>
      </c>
      <c r="G643" s="6">
        <f t="shared" si="37"/>
        <v>0</v>
      </c>
      <c r="H643" s="6">
        <f t="shared" si="38"/>
        <v>0</v>
      </c>
      <c r="I643" s="7">
        <v>7</v>
      </c>
      <c r="J643" s="7"/>
      <c r="K643" s="6">
        <f t="shared" si="39"/>
        <v>0</v>
      </c>
      <c r="L643" s="6">
        <f>'Invoice Data'!$B643+'Invoice Data'!$D643-'Invoice Data'!$G643-'Invoice Data'!$K643+'Invoice Data'!$H643</f>
        <v>3357</v>
      </c>
      <c r="M643" s="6" t="e">
        <f>VLOOKUP('Invoice Data'!$A643,BPay!$B$4:$D$10,3,0)</f>
        <v>#N/A</v>
      </c>
      <c r="N643" s="8"/>
    </row>
    <row r="644" spans="1:14" x14ac:dyDescent="0.3">
      <c r="A644" s="12">
        <v>36805</v>
      </c>
      <c r="B644" s="6">
        <v>0</v>
      </c>
      <c r="C644" s="7"/>
      <c r="D644" s="6">
        <v>7551</v>
      </c>
      <c r="E644" s="7">
        <v>2</v>
      </c>
      <c r="F644" s="7" t="str">
        <f t="shared" si="36"/>
        <v>Y</v>
      </c>
      <c r="G644" s="6">
        <f t="shared" si="37"/>
        <v>377.55</v>
      </c>
      <c r="H644" s="6">
        <f t="shared" si="38"/>
        <v>0</v>
      </c>
      <c r="I644" s="7">
        <v>9</v>
      </c>
      <c r="J644" s="7"/>
      <c r="K644" s="6">
        <f t="shared" si="39"/>
        <v>0</v>
      </c>
      <c r="L644" s="6">
        <f>'Invoice Data'!$B644+'Invoice Data'!$D644-'Invoice Data'!$G644-'Invoice Data'!$K644+'Invoice Data'!$H644</f>
        <v>7173.45</v>
      </c>
      <c r="M644" s="6" t="e">
        <f>VLOOKUP('Invoice Data'!$A644,BPay!$B$4:$D$10,3,0)</f>
        <v>#N/A</v>
      </c>
      <c r="N644" s="8"/>
    </row>
    <row r="645" spans="1:14" x14ac:dyDescent="0.3">
      <c r="A645" s="12">
        <v>36814</v>
      </c>
      <c r="B645" s="6">
        <v>0</v>
      </c>
      <c r="C645" s="7"/>
      <c r="D645" s="6">
        <v>10048</v>
      </c>
      <c r="E645" s="7">
        <v>2</v>
      </c>
      <c r="F645" s="7" t="str">
        <f t="shared" si="36"/>
        <v>Y</v>
      </c>
      <c r="G645" s="6">
        <f t="shared" si="37"/>
        <v>502.40000000000003</v>
      </c>
      <c r="H645" s="6">
        <f t="shared" si="38"/>
        <v>0</v>
      </c>
      <c r="I645" s="7">
        <v>4</v>
      </c>
      <c r="J645" s="7"/>
      <c r="K645" s="6">
        <f t="shared" si="39"/>
        <v>0</v>
      </c>
      <c r="L645" s="6">
        <f>'Invoice Data'!$B645+'Invoice Data'!$D645-'Invoice Data'!$G645-'Invoice Data'!$K645+'Invoice Data'!$H645</f>
        <v>9545.6</v>
      </c>
      <c r="M645" s="6" t="e">
        <f>VLOOKUP('Invoice Data'!$A645,BPay!$B$4:$D$10,3,0)</f>
        <v>#N/A</v>
      </c>
      <c r="N645" s="8"/>
    </row>
    <row r="646" spans="1:14" x14ac:dyDescent="0.3">
      <c r="A646" s="12">
        <v>36823</v>
      </c>
      <c r="B646" s="6">
        <v>0</v>
      </c>
      <c r="C646" s="7"/>
      <c r="D646" s="6">
        <v>8000</v>
      </c>
      <c r="E646" s="7">
        <v>2</v>
      </c>
      <c r="F646" s="7" t="str">
        <f t="shared" si="36"/>
        <v>Y</v>
      </c>
      <c r="G646" s="6">
        <f t="shared" si="37"/>
        <v>400</v>
      </c>
      <c r="H646" s="6">
        <f t="shared" si="38"/>
        <v>0</v>
      </c>
      <c r="I646" s="7">
        <v>11</v>
      </c>
      <c r="J646" s="7"/>
      <c r="K646" s="6">
        <f t="shared" si="39"/>
        <v>0</v>
      </c>
      <c r="L646" s="6">
        <f>'Invoice Data'!$B646+'Invoice Data'!$D646-'Invoice Data'!$G646-'Invoice Data'!$K646+'Invoice Data'!$H646</f>
        <v>7600</v>
      </c>
      <c r="M646" s="6" t="e">
        <f>VLOOKUP('Invoice Data'!$A646,BPay!$B$4:$D$10,3,0)</f>
        <v>#N/A</v>
      </c>
      <c r="N646" s="8"/>
    </row>
    <row r="647" spans="1:14" x14ac:dyDescent="0.3">
      <c r="A647" s="12">
        <v>36832</v>
      </c>
      <c r="B647" s="6">
        <v>0</v>
      </c>
      <c r="C647" s="7"/>
      <c r="D647" s="6">
        <v>4336</v>
      </c>
      <c r="E647" s="7">
        <v>1</v>
      </c>
      <c r="F647" s="7" t="str">
        <f t="shared" si="36"/>
        <v/>
      </c>
      <c r="G647" s="6">
        <f t="shared" si="37"/>
        <v>0</v>
      </c>
      <c r="H647" s="6">
        <f t="shared" si="38"/>
        <v>0</v>
      </c>
      <c r="I647" s="7">
        <v>1</v>
      </c>
      <c r="J647" s="7"/>
      <c r="K647" s="6">
        <f t="shared" si="39"/>
        <v>0</v>
      </c>
      <c r="L647" s="6">
        <f>'Invoice Data'!$B647+'Invoice Data'!$D647-'Invoice Data'!$G647-'Invoice Data'!$K647+'Invoice Data'!$H647</f>
        <v>4336</v>
      </c>
      <c r="M647" s="6" t="e">
        <f>VLOOKUP('Invoice Data'!$A647,BPay!$B$4:$D$10,3,0)</f>
        <v>#N/A</v>
      </c>
      <c r="N647" s="8"/>
    </row>
    <row r="648" spans="1:14" x14ac:dyDescent="0.3">
      <c r="A648" s="12">
        <v>36841</v>
      </c>
      <c r="B648" s="6">
        <v>0</v>
      </c>
      <c r="C648" s="7"/>
      <c r="D648" s="6">
        <v>9822</v>
      </c>
      <c r="E648" s="7">
        <v>2</v>
      </c>
      <c r="F648" s="7" t="str">
        <f t="shared" si="36"/>
        <v>Y</v>
      </c>
      <c r="G648" s="6">
        <f t="shared" si="37"/>
        <v>491.1</v>
      </c>
      <c r="H648" s="6">
        <f t="shared" si="38"/>
        <v>0</v>
      </c>
      <c r="I648" s="7">
        <v>14</v>
      </c>
      <c r="J648" s="7"/>
      <c r="K648" s="6">
        <f t="shared" si="39"/>
        <v>0</v>
      </c>
      <c r="L648" s="6">
        <f>'Invoice Data'!$B648+'Invoice Data'!$D648-'Invoice Data'!$G648-'Invoice Data'!$K648+'Invoice Data'!$H648</f>
        <v>9330.9</v>
      </c>
      <c r="M648" s="6" t="e">
        <f>VLOOKUP('Invoice Data'!$A648,BPay!$B$4:$D$10,3,0)</f>
        <v>#N/A</v>
      </c>
      <c r="N648" s="8"/>
    </row>
    <row r="649" spans="1:14" x14ac:dyDescent="0.3">
      <c r="A649" s="12">
        <v>36850</v>
      </c>
      <c r="B649" s="6">
        <v>0</v>
      </c>
      <c r="C649" s="7"/>
      <c r="D649" s="6">
        <v>4631</v>
      </c>
      <c r="E649" s="7">
        <v>1</v>
      </c>
      <c r="F649" s="7" t="str">
        <f t="shared" ref="F649:F658" si="40">IF(E649&gt;=2,"Y", "")</f>
        <v/>
      </c>
      <c r="G649" s="6">
        <f t="shared" ref="G649:G658" si="41">IF(F649="y",D649*5%,0)</f>
        <v>0</v>
      </c>
      <c r="H649" s="6">
        <f t="shared" ref="H649:H658" si="42">IF(AND(B649&gt;0,C649&lt;&gt;"Y"),B649*10%,0)</f>
        <v>0</v>
      </c>
      <c r="I649" s="7">
        <v>9</v>
      </c>
      <c r="J649" s="7"/>
      <c r="K649" s="6">
        <f t="shared" ref="K649:K658" si="43">IF(OR(I649&gt;=16,J649),250,0)</f>
        <v>0</v>
      </c>
      <c r="L649" s="6">
        <f>'Invoice Data'!$B649+'Invoice Data'!$D649-'Invoice Data'!$G649-'Invoice Data'!$K649+'Invoice Data'!$H649</f>
        <v>4631</v>
      </c>
      <c r="M649" s="6" t="e">
        <f>VLOOKUP('Invoice Data'!$A649,BPay!$B$4:$D$10,3,0)</f>
        <v>#N/A</v>
      </c>
      <c r="N649" s="8"/>
    </row>
    <row r="650" spans="1:14" x14ac:dyDescent="0.3">
      <c r="A650" s="12">
        <v>36869</v>
      </c>
      <c r="B650" s="6">
        <v>0</v>
      </c>
      <c r="C650" s="7"/>
      <c r="D650" s="6">
        <v>5054</v>
      </c>
      <c r="E650" s="7">
        <v>1</v>
      </c>
      <c r="F650" s="7" t="str">
        <f t="shared" si="40"/>
        <v/>
      </c>
      <c r="G650" s="6">
        <f t="shared" si="41"/>
        <v>0</v>
      </c>
      <c r="H650" s="6">
        <f t="shared" si="42"/>
        <v>0</v>
      </c>
      <c r="I650" s="7">
        <v>6</v>
      </c>
      <c r="J650" s="7"/>
      <c r="K650" s="6">
        <f t="shared" si="43"/>
        <v>0</v>
      </c>
      <c r="L650" s="6">
        <f>'Invoice Data'!$B650+'Invoice Data'!$D650-'Invoice Data'!$G650-'Invoice Data'!$K650+'Invoice Data'!$H650</f>
        <v>5054</v>
      </c>
      <c r="M650" s="6" t="e">
        <f>VLOOKUP('Invoice Data'!$A650,BPay!$B$4:$D$10,3,0)</f>
        <v>#N/A</v>
      </c>
      <c r="N650" s="8"/>
    </row>
    <row r="651" spans="1:14" x14ac:dyDescent="0.3">
      <c r="A651" s="12">
        <v>36878</v>
      </c>
      <c r="B651" s="6">
        <v>0</v>
      </c>
      <c r="C651" s="7"/>
      <c r="D651" s="6">
        <v>5322</v>
      </c>
      <c r="E651" s="7">
        <v>1</v>
      </c>
      <c r="F651" s="7" t="str">
        <f t="shared" si="40"/>
        <v/>
      </c>
      <c r="G651" s="6">
        <f t="shared" si="41"/>
        <v>0</v>
      </c>
      <c r="H651" s="6">
        <f t="shared" si="42"/>
        <v>0</v>
      </c>
      <c r="I651" s="7">
        <v>2</v>
      </c>
      <c r="J651" s="7"/>
      <c r="K651" s="6">
        <f t="shared" si="43"/>
        <v>0</v>
      </c>
      <c r="L651" s="6">
        <f>'Invoice Data'!$B651+'Invoice Data'!$D651-'Invoice Data'!$G651-'Invoice Data'!$K651+'Invoice Data'!$H651</f>
        <v>5322</v>
      </c>
      <c r="M651" s="6" t="e">
        <f>VLOOKUP('Invoice Data'!$A651,BPay!$B$4:$D$10,3,0)</f>
        <v>#N/A</v>
      </c>
      <c r="N651" s="8"/>
    </row>
    <row r="652" spans="1:14" x14ac:dyDescent="0.3">
      <c r="A652" s="12">
        <v>36887</v>
      </c>
      <c r="B652" s="6">
        <v>0</v>
      </c>
      <c r="C652" s="7"/>
      <c r="D652" s="6">
        <v>7379</v>
      </c>
      <c r="E652" s="7">
        <v>2</v>
      </c>
      <c r="F652" s="7" t="str">
        <f t="shared" si="40"/>
        <v>Y</v>
      </c>
      <c r="G652" s="6">
        <f t="shared" si="41"/>
        <v>368.95000000000005</v>
      </c>
      <c r="H652" s="6">
        <f t="shared" si="42"/>
        <v>0</v>
      </c>
      <c r="I652" s="7">
        <v>4</v>
      </c>
      <c r="J652" s="7"/>
      <c r="K652" s="6">
        <f t="shared" si="43"/>
        <v>0</v>
      </c>
      <c r="L652" s="6">
        <f>'Invoice Data'!$B652+'Invoice Data'!$D652-'Invoice Data'!$G652-'Invoice Data'!$K652+'Invoice Data'!$H652</f>
        <v>7010.05</v>
      </c>
      <c r="M652" s="6" t="e">
        <f>VLOOKUP('Invoice Data'!$A652,BPay!$B$4:$D$10,3,0)</f>
        <v>#N/A</v>
      </c>
      <c r="N652" s="8"/>
    </row>
    <row r="653" spans="1:14" x14ac:dyDescent="0.3">
      <c r="A653" s="12">
        <v>36896</v>
      </c>
      <c r="B653" s="6">
        <v>0</v>
      </c>
      <c r="C653" s="7"/>
      <c r="D653" s="6">
        <v>4033</v>
      </c>
      <c r="E653" s="7">
        <v>1</v>
      </c>
      <c r="F653" s="7" t="str">
        <f t="shared" si="40"/>
        <v/>
      </c>
      <c r="G653" s="6">
        <f t="shared" si="41"/>
        <v>0</v>
      </c>
      <c r="H653" s="6">
        <f t="shared" si="42"/>
        <v>0</v>
      </c>
      <c r="I653" s="7">
        <v>12</v>
      </c>
      <c r="J653" s="7"/>
      <c r="K653" s="6">
        <f t="shared" si="43"/>
        <v>0</v>
      </c>
      <c r="L653" s="6">
        <f>'Invoice Data'!$B653+'Invoice Data'!$D653-'Invoice Data'!$G653-'Invoice Data'!$K653+'Invoice Data'!$H653</f>
        <v>4033</v>
      </c>
      <c r="M653" s="6" t="e">
        <f>VLOOKUP('Invoice Data'!$A653,BPay!$B$4:$D$10,3,0)</f>
        <v>#N/A</v>
      </c>
      <c r="N653" s="8"/>
    </row>
    <row r="654" spans="1:14" x14ac:dyDescent="0.3">
      <c r="A654" s="12">
        <v>36903</v>
      </c>
      <c r="B654" s="6">
        <v>0</v>
      </c>
      <c r="C654" s="7"/>
      <c r="D654" s="6">
        <v>6916</v>
      </c>
      <c r="E654" s="7">
        <v>2</v>
      </c>
      <c r="F654" s="7" t="str">
        <f t="shared" si="40"/>
        <v>Y</v>
      </c>
      <c r="G654" s="6">
        <f t="shared" si="41"/>
        <v>345.8</v>
      </c>
      <c r="H654" s="6">
        <f t="shared" si="42"/>
        <v>0</v>
      </c>
      <c r="I654" s="7">
        <v>13</v>
      </c>
      <c r="J654" s="7"/>
      <c r="K654" s="6">
        <f t="shared" si="43"/>
        <v>0</v>
      </c>
      <c r="L654" s="6">
        <f>'Invoice Data'!$B654+'Invoice Data'!$D654-'Invoice Data'!$G654-'Invoice Data'!$K654+'Invoice Data'!$H654</f>
        <v>6570.2</v>
      </c>
      <c r="M654" s="6" t="e">
        <f>VLOOKUP('Invoice Data'!$A654,BPay!$B$4:$D$10,3,0)</f>
        <v>#N/A</v>
      </c>
      <c r="N654" s="8"/>
    </row>
    <row r="655" spans="1:14" x14ac:dyDescent="0.3">
      <c r="A655" s="12">
        <v>36912</v>
      </c>
      <c r="B655" s="6">
        <v>0</v>
      </c>
      <c r="C655" s="7"/>
      <c r="D655" s="6">
        <v>4101</v>
      </c>
      <c r="E655" s="7">
        <v>1</v>
      </c>
      <c r="F655" s="7" t="str">
        <f t="shared" si="40"/>
        <v/>
      </c>
      <c r="G655" s="6">
        <f t="shared" si="41"/>
        <v>0</v>
      </c>
      <c r="H655" s="6">
        <f t="shared" si="42"/>
        <v>0</v>
      </c>
      <c r="I655" s="7">
        <v>0</v>
      </c>
      <c r="J655" s="7" t="b">
        <v>1</v>
      </c>
      <c r="K655" s="6">
        <f t="shared" si="43"/>
        <v>250</v>
      </c>
      <c r="L655" s="6">
        <f>'Invoice Data'!$B655+'Invoice Data'!$D655-'Invoice Data'!$G655-'Invoice Data'!$K655+'Invoice Data'!$H655</f>
        <v>3851</v>
      </c>
      <c r="M655" s="6" t="e">
        <f>VLOOKUP('Invoice Data'!$A655,BPay!$B$4:$D$10,3,0)</f>
        <v>#N/A</v>
      </c>
      <c r="N655" s="8"/>
    </row>
    <row r="656" spans="1:14" x14ac:dyDescent="0.3">
      <c r="A656" s="12">
        <v>36921</v>
      </c>
      <c r="B656" s="6">
        <v>0</v>
      </c>
      <c r="C656" s="7"/>
      <c r="D656" s="6">
        <v>3709</v>
      </c>
      <c r="E656" s="7">
        <v>1</v>
      </c>
      <c r="F656" s="7" t="str">
        <f t="shared" si="40"/>
        <v/>
      </c>
      <c r="G656" s="6">
        <f t="shared" si="41"/>
        <v>0</v>
      </c>
      <c r="H656" s="6">
        <f t="shared" si="42"/>
        <v>0</v>
      </c>
      <c r="I656" s="7">
        <v>9</v>
      </c>
      <c r="J656" s="7"/>
      <c r="K656" s="6">
        <f t="shared" si="43"/>
        <v>0</v>
      </c>
      <c r="L656" s="6">
        <f>'Invoice Data'!$B656+'Invoice Data'!$D656-'Invoice Data'!$G656-'Invoice Data'!$K656+'Invoice Data'!$H656</f>
        <v>3709</v>
      </c>
      <c r="M656" s="6" t="e">
        <f>VLOOKUP('Invoice Data'!$A656,BPay!$B$4:$D$10,3,0)</f>
        <v>#N/A</v>
      </c>
      <c r="N656" s="8"/>
    </row>
    <row r="657" spans="1:14" x14ac:dyDescent="0.3">
      <c r="A657" s="12">
        <v>36930</v>
      </c>
      <c r="B657" s="6">
        <v>0</v>
      </c>
      <c r="C657" s="7"/>
      <c r="D657" s="6">
        <v>6358</v>
      </c>
      <c r="E657" s="7">
        <v>2</v>
      </c>
      <c r="F657" s="7" t="str">
        <f t="shared" si="40"/>
        <v>Y</v>
      </c>
      <c r="G657" s="6">
        <f t="shared" si="41"/>
        <v>317.90000000000003</v>
      </c>
      <c r="H657" s="6">
        <f t="shared" si="42"/>
        <v>0</v>
      </c>
      <c r="I657" s="7">
        <v>13</v>
      </c>
      <c r="J657" s="7"/>
      <c r="K657" s="6">
        <f t="shared" si="43"/>
        <v>0</v>
      </c>
      <c r="L657" s="6">
        <f>'Invoice Data'!$B657+'Invoice Data'!$D657-'Invoice Data'!$G657-'Invoice Data'!$K657+'Invoice Data'!$H657</f>
        <v>6040.1</v>
      </c>
      <c r="M657" s="6" t="e">
        <f>VLOOKUP('Invoice Data'!$A657,BPay!$B$4:$D$10,3,0)</f>
        <v>#N/A</v>
      </c>
      <c r="N657" s="8"/>
    </row>
    <row r="658" spans="1:14" x14ac:dyDescent="0.3">
      <c r="A658" s="13">
        <v>36949</v>
      </c>
      <c r="B658" s="14">
        <v>0</v>
      </c>
      <c r="C658" s="15"/>
      <c r="D658" s="14">
        <v>9482</v>
      </c>
      <c r="E658" s="15">
        <v>2</v>
      </c>
      <c r="F658" s="7" t="str">
        <f t="shared" si="40"/>
        <v>Y</v>
      </c>
      <c r="G658" s="6">
        <f t="shared" si="41"/>
        <v>474.1</v>
      </c>
      <c r="H658" s="6">
        <f t="shared" si="42"/>
        <v>0</v>
      </c>
      <c r="I658" s="15">
        <v>7</v>
      </c>
      <c r="J658" s="15"/>
      <c r="K658" s="6">
        <f t="shared" si="43"/>
        <v>0</v>
      </c>
      <c r="L658" s="14">
        <f>'Invoice Data'!$B658+'Invoice Data'!$D658-'Invoice Data'!$G658-'Invoice Data'!$K658+'Invoice Data'!$H658</f>
        <v>9007.9</v>
      </c>
      <c r="M658" s="14" t="e">
        <f>VLOOKUP('Invoice Data'!$A658,BPay!$B$4:$D$10,3,0)</f>
        <v>#N/A</v>
      </c>
      <c r="N658" s="1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30" zoomScaleNormal="130" workbookViewId="0">
      <selection activeCell="A2" sqref="A2"/>
    </sheetView>
  </sheetViews>
  <sheetFormatPr defaultRowHeight="16.5" x14ac:dyDescent="0.3"/>
  <cols>
    <col min="1" max="1" width="17.25" customWidth="1"/>
    <col min="2" max="2" width="15.625" bestFit="1" customWidth="1"/>
    <col min="3" max="3" width="14" customWidth="1"/>
    <col min="4" max="4" width="19.25" bestFit="1" customWidth="1"/>
  </cols>
  <sheetData>
    <row r="1" spans="1:4" x14ac:dyDescent="0.3">
      <c r="A1" t="s">
        <v>0</v>
      </c>
    </row>
    <row r="3" spans="1:4" x14ac:dyDescent="0.3">
      <c r="A3" t="s">
        <v>4</v>
      </c>
      <c r="B3" t="s">
        <v>1</v>
      </c>
      <c r="C3" s="4" t="s">
        <v>2</v>
      </c>
      <c r="D3" s="4" t="s">
        <v>3</v>
      </c>
    </row>
    <row r="4" spans="1:4" x14ac:dyDescent="0.3">
      <c r="A4" s="3">
        <v>190483155</v>
      </c>
      <c r="B4" s="3">
        <v>30008</v>
      </c>
      <c r="C4" s="1">
        <v>42957</v>
      </c>
      <c r="D4" s="2">
        <v>11757</v>
      </c>
    </row>
    <row r="5" spans="1:4" x14ac:dyDescent="0.3">
      <c r="A5" s="3">
        <v>190483155</v>
      </c>
      <c r="B5" s="3">
        <v>30017</v>
      </c>
      <c r="C5" s="1">
        <v>42957</v>
      </c>
      <c r="D5" s="2">
        <v>5193</v>
      </c>
    </row>
    <row r="6" spans="1:4" x14ac:dyDescent="0.3">
      <c r="A6" s="3">
        <v>190483155</v>
      </c>
      <c r="B6" s="3">
        <v>30035</v>
      </c>
      <c r="C6" s="1">
        <v>42957</v>
      </c>
      <c r="D6" s="2">
        <v>8731</v>
      </c>
    </row>
    <row r="7" spans="1:4" x14ac:dyDescent="0.3">
      <c r="A7" s="3">
        <v>190483155</v>
      </c>
      <c r="B7" s="3">
        <v>30044</v>
      </c>
      <c r="C7" s="1">
        <v>42957</v>
      </c>
      <c r="D7" s="2">
        <f>3041+548</f>
        <v>3589</v>
      </c>
    </row>
    <row r="8" spans="1:4" x14ac:dyDescent="0.3">
      <c r="A8" s="3">
        <v>190483155</v>
      </c>
      <c r="B8" s="3">
        <v>30133</v>
      </c>
      <c r="C8" s="1">
        <v>42959</v>
      </c>
      <c r="D8" s="2">
        <v>7377</v>
      </c>
    </row>
    <row r="9" spans="1:4" x14ac:dyDescent="0.3">
      <c r="A9" s="3">
        <v>190483155</v>
      </c>
      <c r="B9" s="3">
        <v>30053</v>
      </c>
      <c r="C9" s="1">
        <v>42959</v>
      </c>
      <c r="D9" s="6">
        <v>7377</v>
      </c>
    </row>
    <row r="10" spans="1:4" x14ac:dyDescent="0.3">
      <c r="A10" s="3">
        <v>190483155</v>
      </c>
      <c r="B10" s="3">
        <v>30222</v>
      </c>
      <c r="C10" s="1">
        <v>42960</v>
      </c>
      <c r="D10" s="2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Data</vt:lpstr>
      <vt:lpstr>BPay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2017-08-06T09:33:45Z</dcterms:created>
  <dcterms:modified xsi:type="dcterms:W3CDTF">2026-10-21T20:35:03Z</dcterms:modified>
</cp:coreProperties>
</file>