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"/>
    </mc:Choice>
  </mc:AlternateContent>
  <xr:revisionPtr revIDLastSave="0" documentId="13_ncr:1_{4E6B4B80-78A0-49C2-BF9B-95DF083AB8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ojections &amp; Estimates" sheetId="3" r:id="rId1"/>
    <sheet name="Scenario Summary" sheetId="4" r:id="rId2"/>
    <sheet name="Scenario Summary 2" sheetId="5" r:id="rId3"/>
    <sheet name="Project Costing Model" sheetId="1" r:id="rId4"/>
  </sheets>
  <definedNames>
    <definedName name="Quantity_Sold__Per_Manual">'Project Costing Model'!$E$16</definedName>
    <definedName name="Reviewers">'Projections &amp; Estimates'!#REF!</definedName>
    <definedName name="Sale_Price">'Project Costing Model'!$E$15</definedName>
    <definedName name="solver_adj" localSheetId="3" hidden="1">'Project Costing Model'!$B$7:$B$9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'Project Costing Model'!$B$7</definedName>
    <definedName name="solver_lhs2" localSheetId="3" hidden="1">'Project Costing Model'!$B$8</definedName>
    <definedName name="solver_lhs3" localSheetId="3" hidden="1">'Project Costing Model'!$B$9</definedName>
    <definedName name="solver_lhs4" localSheetId="3" hidden="1">'Project Costing Model'!$B$9</definedName>
    <definedName name="solver_lhs5" localSheetId="3" hidden="1">'Project Costing Model'!$E$7</definedName>
    <definedName name="solver_lhs6" localSheetId="3" hidden="1">'Project Costing Model'!$E$7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4</definedName>
    <definedName name="solver_nwt" localSheetId="3" hidden="1">1</definedName>
    <definedName name="solver_opt" localSheetId="3" hidden="1">'Project Costing Model'!$E$20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3</definedName>
    <definedName name="solver_rel5" localSheetId="3" hidden="1">1</definedName>
    <definedName name="solver_rel6" localSheetId="3" hidden="1">1</definedName>
    <definedName name="solver_rhs1" localSheetId="3" hidden="1">12</definedName>
    <definedName name="solver_rhs2" localSheetId="3" hidden="1">8</definedName>
    <definedName name="solver_rhs3" localSheetId="3" hidden="1">6</definedName>
    <definedName name="solver_rhs4" localSheetId="3" hidden="1">1</definedName>
    <definedName name="solver_rhs5" localSheetId="3" hidden="1">24</definedName>
    <definedName name="solver_rhs6" localSheetId="3" hidden="1">24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20</definedName>
    <definedName name="solver_ver" localSheetId="3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7" i="1" s="1"/>
  <c r="A26" i="3"/>
  <c r="B15" i="3"/>
  <c r="E7" i="3"/>
  <c r="E8" i="3"/>
  <c r="E9" i="3"/>
  <c r="E10" i="3"/>
  <c r="E11" i="3"/>
  <c r="E6" i="3"/>
  <c r="G6" i="3" s="1"/>
  <c r="E17" i="1" l="1"/>
  <c r="E12" i="3"/>
  <c r="C26" i="3"/>
  <c r="D26" i="3"/>
  <c r="E26" i="3" s="1"/>
  <c r="F26" i="3" s="1"/>
  <c r="G26" i="3" s="1"/>
  <c r="H26" i="3" s="1"/>
  <c r="E18" i="1" l="1"/>
  <c r="E10" i="1"/>
  <c r="E12" i="1" s="1"/>
  <c r="E5" i="1"/>
  <c r="E11" i="1" l="1"/>
  <c r="B15" i="1" s="1"/>
  <c r="B16" i="1" s="1"/>
  <c r="B17" i="1" l="1"/>
  <c r="B20" i="1" s="1"/>
  <c r="E20" i="1" s="1"/>
</calcChain>
</file>

<file path=xl/sharedStrings.xml><?xml version="1.0" encoding="utf-8"?>
<sst xmlns="http://schemas.openxmlformats.org/spreadsheetml/2006/main" count="89" uniqueCount="76">
  <si>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</si>
  <si>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</si>
  <si>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</si>
  <si>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</si>
  <si>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</si>
  <si>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</si>
  <si>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</si>
  <si>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</si>
  <si>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</si>
  <si>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</si>
  <si>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</si>
  <si>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</si>
  <si>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</si>
  <si>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</si>
  <si>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</si>
  <si>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</si>
  <si>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</si>
  <si>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</si>
  <si>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</si>
  <si>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</si>
  <si>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</si>
  <si>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</si>
  <si>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</si>
  <si>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</si>
  <si>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</si>
  <si>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High Level Design</t>
  </si>
  <si>
    <t>Technical Design</t>
  </si>
  <si>
    <t>Unit Testing</t>
  </si>
  <si>
    <t>Integrated Testing</t>
  </si>
  <si>
    <t>User Acceptance Testing</t>
  </si>
  <si>
    <t>Development</t>
  </si>
  <si>
    <t>TOTAL HOURS</t>
  </si>
  <si>
    <t>Most Pessimistic</t>
  </si>
  <si>
    <t>Most Optimistic</t>
  </si>
  <si>
    <t>High Level Tasks</t>
  </si>
  <si>
    <t>Man Hours per Manual</t>
  </si>
  <si>
    <t>Estimated Income</t>
  </si>
  <si>
    <t>Expected Increase</t>
  </si>
  <si>
    <t>Sale Price</t>
  </si>
  <si>
    <t>Estimated Fixed Expenses</t>
  </si>
  <si>
    <t>Previous Fixed Expenses</t>
  </si>
  <si>
    <t>Projections and Estimates</t>
  </si>
  <si>
    <t>Most Likely</t>
  </si>
  <si>
    <t>Previous Sales Units</t>
  </si>
  <si>
    <t>Estimated Increase</t>
  </si>
  <si>
    <t>Expenses</t>
  </si>
  <si>
    <t>Sales</t>
  </si>
  <si>
    <t>Per Manual Revenue</t>
  </si>
  <si>
    <t>Quantity Sold (Per Manual)</t>
  </si>
  <si>
    <t>Software Manuals</t>
  </si>
  <si>
    <t>Pert Estimation</t>
  </si>
  <si>
    <t>Weighting</t>
  </si>
  <si>
    <t>Tasks &gt;= 100</t>
  </si>
  <si>
    <t>Sale_Price</t>
  </si>
  <si>
    <t>Quantity_Sold__Per_Manual</t>
  </si>
  <si>
    <t>$E$20</t>
  </si>
  <si>
    <t>Current Price</t>
  </si>
  <si>
    <t>Created by nic on 5/09/2017</t>
  </si>
  <si>
    <t>Price Decrease</t>
  </si>
  <si>
    <t>Price Increase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</si>
  <si>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</si>
  <si>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</si>
  <si>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</si>
  <si>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</si>
  <si>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</si>
  <si>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</si>
  <si>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</si>
  <si>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$B$7</t>
  </si>
  <si>
    <t>$B$8</t>
  </si>
  <si>
    <t>$B$9</t>
  </si>
  <si>
    <t>20 weeks</t>
  </si>
  <si>
    <t>Created by Russell Tito on 10/30/2026</t>
  </si>
  <si>
    <t>30 weeks (original)</t>
  </si>
  <si>
    <t>Created by Russell Tito on 30/10/2026</t>
  </si>
  <si>
    <t>21 weeks</t>
  </si>
  <si>
    <t>147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</si>
</sst>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0.0%"/>
    <numFmt numFmtId="167" formatCode="_-* #,##0_-;\-* #,##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/>
    <xf numFmtId="164" fontId="3" fillId="5" borderId="2" xfId="2" applyNumberFormat="1" applyFont="1" applyFill="1"/>
    <xf numFmtId="165" fontId="3" fillId="5" borderId="2" xfId="2" applyNumberFormat="1" applyFon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5" fontId="8" fillId="0" borderId="0" xfId="6" applyNumberFormat="1" applyFont="1"/>
    <xf numFmtId="0" fontId="10" fillId="0" borderId="0" xfId="6" applyFont="1"/>
    <xf numFmtId="0" fontId="8" fillId="0" borderId="0" xfId="6" applyFont="1" applyFill="1"/>
    <xf numFmtId="0" fontId="6" fillId="2" borderId="1" xfId="1" applyFont="1"/>
    <xf numFmtId="165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0" fontId="3" fillId="0" borderId="2" xfId="2"/>
    <xf numFmtId="0" fontId="7" fillId="3" borderId="0" xfId="3" applyFont="1" applyAlignment="1">
      <alignment horizontal="center" vertical="center"/>
    </xf>
    <xf numFmtId="0" fontId="27" fillId="34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2" applyAlignment="1">
      <alignment horizontal="center"/>
    </xf>
    <xf numFmtId="0" fontId="4" fillId="18" borderId="0" xfId="33" applyAlignment="1">
      <alignment vertical="center"/>
    </xf>
    <xf numFmtId="0" fontId="4" fillId="18" borderId="0" xfId="33" applyAlignment="1">
      <alignment horizontal="center" wrapText="1"/>
    </xf>
    <xf numFmtId="9" fontId="0" fillId="0" borderId="0" xfId="11" applyFont="1"/>
    <xf numFmtId="165" fontId="0" fillId="0" borderId="0" xfId="0" applyNumberFormat="1"/>
    <xf numFmtId="165" fontId="2" fillId="2" borderId="1" xfId="1" applyNumberFormat="1" applyAlignment="1"/>
    <xf numFmtId="0" fontId="4" fillId="18" borderId="0" xfId="33" applyAlignment="1">
      <alignment horizontal="right"/>
    </xf>
    <xf numFmtId="165" fontId="2" fillId="2" borderId="1" xfId="1" applyNumberFormat="1"/>
    <xf numFmtId="0" fontId="0" fillId="0" borderId="0" xfId="0"/>
    <xf numFmtId="166" fontId="1" fillId="19" borderId="0" xfId="34" applyNumberFormat="1"/>
    <xf numFmtId="0" fontId="4" fillId="18" borderId="0" xfId="33"/>
    <xf numFmtId="165" fontId="1" fillId="19" borderId="0" xfId="34" applyNumberFormat="1"/>
    <xf numFmtId="9" fontId="1" fillId="19" borderId="0" xfId="34" applyNumberFormat="1"/>
    <xf numFmtId="0" fontId="3" fillId="0" borderId="0" xfId="0" applyFont="1" applyAlignment="1">
      <alignment horizontal="right"/>
    </xf>
    <xf numFmtId="0" fontId="4" fillId="18" borderId="0" xfId="33" applyAlignment="1">
      <alignment horizontal="right" wrapText="1"/>
    </xf>
    <xf numFmtId="0" fontId="1" fillId="19" borderId="0" xfId="34" applyAlignment="1">
      <alignment horizontal="left"/>
    </xf>
    <xf numFmtId="0" fontId="0" fillId="0" borderId="0" xfId="11" applyNumberFormat="1" applyFont="1"/>
    <xf numFmtId="0" fontId="0" fillId="19" borderId="0" xfId="34" applyFont="1" applyAlignment="1">
      <alignment horizontal="left"/>
    </xf>
    <xf numFmtId="165" fontId="25" fillId="0" borderId="0" xfId="0" applyNumberFormat="1" applyFont="1"/>
    <xf numFmtId="167" fontId="25" fillId="0" borderId="0" xfId="10" applyNumberFormat="1" applyFont="1"/>
    <xf numFmtId="1" fontId="3" fillId="0" borderId="2" xfId="2" applyNumberFormat="1"/>
    <xf numFmtId="0" fontId="2" fillId="2" borderId="1" xfId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167" fontId="0" fillId="0" borderId="0" xfId="0" applyNumberFormat="1" applyFill="1" applyBorder="1" applyAlignment="1"/>
    <xf numFmtId="165" fontId="0" fillId="0" borderId="11" xfId="0" applyNumberFormat="1" applyFill="1" applyBorder="1" applyAlignment="1"/>
    <xf numFmtId="0" fontId="30" fillId="35" borderId="12" xfId="0" applyFont="1" applyFill="1" applyBorder="1" applyAlignment="1">
      <alignment horizontal="left"/>
    </xf>
    <xf numFmtId="0" fontId="30" fillId="35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31" fillId="36" borderId="0" xfId="0" applyFont="1" applyFill="1" applyBorder="1" applyAlignment="1">
      <alignment horizontal="left"/>
    </xf>
    <xf numFmtId="0" fontId="32" fillId="36" borderId="13" xfId="0" applyFont="1" applyFill="1" applyBorder="1" applyAlignment="1">
      <alignment horizontal="left"/>
    </xf>
    <xf numFmtId="0" fontId="31" fillId="36" borderId="11" xfId="0" applyFont="1" applyFill="1" applyBorder="1" applyAlignment="1">
      <alignment horizontal="left"/>
    </xf>
    <xf numFmtId="0" fontId="33" fillId="35" borderId="10" xfId="0" applyFont="1" applyFill="1" applyBorder="1" applyAlignment="1">
      <alignment horizontal="right"/>
    </xf>
    <xf numFmtId="0" fontId="33" fillId="35" borderId="12" xfId="0" applyFont="1" applyFill="1" applyBorder="1" applyAlignment="1">
      <alignment horizontal="right"/>
    </xf>
    <xf numFmtId="165" fontId="0" fillId="37" borderId="0" xfId="0" applyNumberFormat="1" applyFill="1" applyBorder="1" applyAlignment="1"/>
    <xf numFmtId="167" fontId="0" fillId="37" borderId="0" xfId="0" applyNumberFormat="1" applyFill="1" applyBorder="1" applyAlignment="1"/>
    <xf numFmtId="0" fontId="29" fillId="0" borderId="0" xfId="0" applyFont="1" applyFill="1" applyBorder="1" applyAlignment="1">
      <alignment vertical="top" wrapText="1"/>
    </xf>
    <xf numFmtId="1" fontId="6" fillId="38" borderId="1" xfId="1" applyNumberFormat="1" applyFont="1" applyFill="1"/>
    <xf numFmtId="1" fontId="0" fillId="0" borderId="0" xfId="0" applyNumberFormat="1" applyFill="1" applyBorder="1" applyAlignment="1"/>
    <xf numFmtId="0" fontId="34" fillId="35" borderId="12" xfId="0" applyFont="1" applyFill="1" applyBorder="1" applyAlignment="1">
      <alignment horizontal="left"/>
    </xf>
    <xf numFmtId="0" fontId="34" fillId="35" borderId="10" xfId="0" applyFont="1" applyFill="1" applyBorder="1" applyAlignment="1">
      <alignment horizontal="left"/>
    </xf>
    <xf numFmtId="0" fontId="35" fillId="36" borderId="0" xfId="0" applyFont="1" applyFill="1" applyBorder="1" applyAlignment="1">
      <alignment horizontal="left"/>
    </xf>
    <xf numFmtId="0" fontId="36" fillId="36" borderId="13" xfId="0" applyFont="1" applyFill="1" applyBorder="1" applyAlignment="1">
      <alignment horizontal="left"/>
    </xf>
    <xf numFmtId="0" fontId="35" fillId="36" borderId="11" xfId="0" applyFont="1" applyFill="1" applyBorder="1" applyAlignment="1">
      <alignment horizontal="left"/>
    </xf>
    <xf numFmtId="1" fontId="0" fillId="37" borderId="0" xfId="0" applyNumberFormat="1" applyFill="1" applyBorder="1" applyAlignment="1"/>
  </cellXfs>
  <cellStyles count="49">
    <cellStyle name="20% - Accent1" xfId="27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8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9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3" builtinId="29" customBuiltin="1"/>
    <cellStyle name="Accent2" xfId="4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/>
    <cellStyle name="Normal 2" xfId="6" xr:uid="{00000000-0005-0000-0000-00002A000000}"/>
    <cellStyle name="Note" xfId="25" builtinId="10" customBuiltin="1"/>
    <cellStyle name="Output" xfId="1" builtinId="21" customBuiltin="1"/>
    <cellStyle name="Percent" xfId="11" builtinId="5"/>
    <cellStyle name="Title" xfId="12" builtinId="15" customBuiltin="1"/>
    <cellStyle name="Total" xfId="2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164523</xdr:colOff>
      <xdr:row>0</xdr:row>
      <xdr:rowOff>112568</xdr:rowOff>
    </xdr:from>
    <xdr:to>
      <xdr:col>4</xdr:col>
      <xdr:colOff>432954</xdr:colOff>
      <xdr:row>0</xdr:row>
      <xdr:rowOff>406977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C65B5E-9ED5-4A94-B8F3-31B980E3387E}"/>
            </a:ext>
          </a:extLst>
        </xdr:cNvPr>
        <xdr:cNvSpPr/>
      </xdr:nvSpPr>
      <xdr:spPr>
        <a:xfrm>
          <a:off x="4182341" y="112568"/>
          <a:ext cx="2970068" cy="294409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SOLVER = SIMPLEX LINEAR</a:t>
          </a:r>
          <a:r>
            <a:rPr lang="es-419" sz="1100" baseline="0"/>
            <a:t> </a:t>
          </a:r>
          <a:r>
            <a:rPr lang="es-419" sz="1100"/>
            <a:t>PROGRAMMING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workbookViewId="0">
      <selection activeCell="G6" sqref="G6"/>
    </sheetView>
  </sheetViews>
  <sheetFormatPr defaultRowHeight="15" x14ac:dyDescent="0.25"/>
  <cols>
    <col min="1" max="1" width="22.42578125" customWidth="1"/>
    <col min="2" max="3" width="18.42578125" customWidth="1"/>
    <col min="4" max="4" width="19.5703125" customWidth="1"/>
    <col min="5" max="5" width="18.42578125" customWidth="1"/>
    <col min="6" max="6" width="17.42578125" customWidth="1"/>
    <col min="7" max="7" width="20.85546875" bestFit="1" customWidth="1"/>
    <col min="8" max="8" width="17.42578125" customWidth="1"/>
  </cols>
  <sheetData>
    <row r="1" spans="1:8" s="34" customFormat="1" ht="40.700000000000003" customHeight="1" x14ac:dyDescent="0.25">
      <c r="A1" s="12" t="s">
        <v>41</v>
      </c>
      <c r="B1" s="22"/>
      <c r="C1" s="22"/>
      <c r="D1" s="22"/>
      <c r="E1" s="13"/>
      <c r="F1" s="13"/>
      <c r="G1" s="13"/>
      <c r="H1" s="13"/>
    </row>
    <row r="2" spans="1:8" s="34" customFormat="1" ht="3.95" customHeight="1" x14ac:dyDescent="0.25">
      <c r="A2" s="18"/>
      <c r="B2" s="23"/>
      <c r="C2" s="23"/>
      <c r="D2" s="23"/>
      <c r="E2" s="19"/>
      <c r="F2" s="19"/>
      <c r="G2" s="19"/>
      <c r="H2" s="19"/>
    </row>
    <row r="4" spans="1:8" x14ac:dyDescent="0.25">
      <c r="B4" s="25">
        <v>1</v>
      </c>
      <c r="C4" s="25">
        <v>4</v>
      </c>
      <c r="D4" s="25">
        <v>1</v>
      </c>
      <c r="E4" s="39" t="s">
        <v>51</v>
      </c>
    </row>
    <row r="5" spans="1:8" s="34" customFormat="1" x14ac:dyDescent="0.25">
      <c r="A5" s="27" t="s">
        <v>34</v>
      </c>
      <c r="B5" s="28" t="s">
        <v>32</v>
      </c>
      <c r="C5" s="28" t="s">
        <v>42</v>
      </c>
      <c r="D5" s="28" t="s">
        <v>33</v>
      </c>
      <c r="E5" s="40" t="s">
        <v>50</v>
      </c>
      <c r="G5" s="28" t="s">
        <v>52</v>
      </c>
    </row>
    <row r="6" spans="1:8" x14ac:dyDescent="0.25">
      <c r="A6" s="34" t="s">
        <v>25</v>
      </c>
      <c r="B6" s="24">
        <v>64</v>
      </c>
      <c r="C6" s="24">
        <v>36.000000000000036</v>
      </c>
      <c r="D6" s="24">
        <v>32</v>
      </c>
      <c r="E6" s="34">
        <f>SUMPRODUCT(B6:D6,$B$4:$D$4)/6</f>
        <v>40.000000000000021</v>
      </c>
      <c r="G6" s="47">
        <f>SUMPRODUCT(1*(E6:E11&gt;=100))</f>
        <v>3</v>
      </c>
    </row>
    <row r="7" spans="1:8" x14ac:dyDescent="0.25">
      <c r="A7" s="34" t="s">
        <v>26</v>
      </c>
      <c r="B7" s="24">
        <v>160</v>
      </c>
      <c r="C7" s="24">
        <v>115</v>
      </c>
      <c r="D7" s="24">
        <v>100</v>
      </c>
      <c r="E7" s="34">
        <f t="shared" ref="E7:E11" si="0">SUMPRODUCT(B7:D7,$B$4:$D$4)/6</f>
        <v>120</v>
      </c>
      <c r="F7" s="34"/>
    </row>
    <row r="8" spans="1:8" x14ac:dyDescent="0.25">
      <c r="A8" s="34" t="s">
        <v>30</v>
      </c>
      <c r="B8" s="24">
        <v>760</v>
      </c>
      <c r="C8" s="24">
        <v>575</v>
      </c>
      <c r="D8" s="24">
        <v>479.99999999999989</v>
      </c>
      <c r="E8" s="34">
        <f t="shared" si="0"/>
        <v>590</v>
      </c>
      <c r="F8" s="34"/>
    </row>
    <row r="9" spans="1:8" x14ac:dyDescent="0.25">
      <c r="A9" s="34" t="s">
        <v>27</v>
      </c>
      <c r="B9" s="24">
        <v>100</v>
      </c>
      <c r="C9" s="24">
        <v>70</v>
      </c>
      <c r="D9" s="24">
        <v>40</v>
      </c>
      <c r="E9" s="34">
        <f t="shared" si="0"/>
        <v>70</v>
      </c>
      <c r="F9" s="34"/>
    </row>
    <row r="10" spans="1:8" x14ac:dyDescent="0.25">
      <c r="A10" s="34" t="s">
        <v>28</v>
      </c>
      <c r="B10" s="24">
        <v>110</v>
      </c>
      <c r="C10" s="24">
        <v>80</v>
      </c>
      <c r="D10" s="24">
        <v>50</v>
      </c>
      <c r="E10" s="34">
        <f t="shared" si="0"/>
        <v>80</v>
      </c>
      <c r="F10" s="34"/>
    </row>
    <row r="11" spans="1:8" x14ac:dyDescent="0.25">
      <c r="A11" s="34" t="s">
        <v>29</v>
      </c>
      <c r="B11" s="24">
        <v>130</v>
      </c>
      <c r="C11" s="24">
        <v>110</v>
      </c>
      <c r="D11" s="24">
        <v>29.999999999999915</v>
      </c>
      <c r="E11" s="34">
        <f t="shared" si="0"/>
        <v>99.999999999999986</v>
      </c>
      <c r="F11" s="34"/>
    </row>
    <row r="12" spans="1:8" ht="15.75" thickBot="1" x14ac:dyDescent="0.3">
      <c r="A12" s="21" t="s">
        <v>31</v>
      </c>
      <c r="B12" s="26"/>
      <c r="C12" s="26"/>
      <c r="D12" s="26"/>
      <c r="E12" s="46">
        <f>SUM(E6:E11)</f>
        <v>1000</v>
      </c>
      <c r="F12" s="30"/>
    </row>
    <row r="13" spans="1:8" ht="15.75" thickTop="1" x14ac:dyDescent="0.25">
      <c r="A13" s="34"/>
      <c r="B13" s="24"/>
      <c r="C13" s="24"/>
      <c r="D13" s="24"/>
      <c r="E13" s="34"/>
      <c r="F13" s="30"/>
    </row>
    <row r="14" spans="1:8" x14ac:dyDescent="0.25">
      <c r="C14" s="30"/>
      <c r="D14" s="30"/>
      <c r="E14" s="30"/>
      <c r="F14" s="30"/>
    </row>
    <row r="15" spans="1:8" x14ac:dyDescent="0.25">
      <c r="A15" s="32" t="s">
        <v>39</v>
      </c>
      <c r="B15" s="33">
        <f>E16*(1+E17)</f>
        <v>100280.00000000001</v>
      </c>
      <c r="C15" s="30"/>
      <c r="D15" s="36" t="s">
        <v>45</v>
      </c>
      <c r="E15" s="36"/>
      <c r="F15" s="30"/>
    </row>
    <row r="16" spans="1:8" x14ac:dyDescent="0.25">
      <c r="A16" s="35">
        <v>0.05</v>
      </c>
      <c r="B16" s="30">
        <f t="dataTable" ref="B16:B23" dt2D="0" dtr="0" r1="E17"/>
        <v>96600</v>
      </c>
      <c r="C16" s="30"/>
      <c r="D16" s="41" t="s">
        <v>40</v>
      </c>
      <c r="E16" s="30">
        <v>92000</v>
      </c>
      <c r="F16" s="30"/>
    </row>
    <row r="17" spans="1:8" x14ac:dyDescent="0.25">
      <c r="A17" s="35">
        <v>6.5000000000000002E-2</v>
      </c>
      <c r="B17" s="30">
        <v>97980</v>
      </c>
      <c r="C17" s="30"/>
      <c r="D17" s="41" t="s">
        <v>44</v>
      </c>
      <c r="E17" s="29">
        <v>0.09</v>
      </c>
      <c r="F17" s="30"/>
    </row>
    <row r="18" spans="1:8" x14ac:dyDescent="0.25">
      <c r="A18" s="35">
        <v>0.08</v>
      </c>
      <c r="B18" s="30">
        <v>99360</v>
      </c>
      <c r="C18" s="30"/>
      <c r="F18" s="30"/>
    </row>
    <row r="19" spans="1:8" x14ac:dyDescent="0.25">
      <c r="A19" s="35">
        <v>9.5000000000000001E-2</v>
      </c>
      <c r="B19" s="30">
        <v>100740</v>
      </c>
      <c r="C19" s="30"/>
      <c r="F19" s="30"/>
    </row>
    <row r="20" spans="1:8" s="34" customFormat="1" x14ac:dyDescent="0.25">
      <c r="A20" s="35">
        <v>0.11</v>
      </c>
      <c r="B20" s="30">
        <v>102120.00000000001</v>
      </c>
      <c r="C20" s="30"/>
      <c r="D20" s="36" t="s">
        <v>46</v>
      </c>
      <c r="E20" s="36"/>
      <c r="F20" s="30"/>
      <c r="G20"/>
      <c r="H20" s="30"/>
    </row>
    <row r="21" spans="1:8" s="34" customFormat="1" x14ac:dyDescent="0.25">
      <c r="A21" s="35">
        <v>0.125</v>
      </c>
      <c r="B21" s="30">
        <v>103500</v>
      </c>
      <c r="C21" s="30"/>
      <c r="D21" s="41" t="s">
        <v>38</v>
      </c>
      <c r="E21" s="30">
        <v>35</v>
      </c>
      <c r="F21" s="30"/>
      <c r="G21"/>
      <c r="H21" s="30"/>
    </row>
    <row r="22" spans="1:8" s="34" customFormat="1" x14ac:dyDescent="0.25">
      <c r="A22" s="35">
        <v>0.14000000000000001</v>
      </c>
      <c r="B22" s="30">
        <v>104880.00000000001</v>
      </c>
      <c r="C22" s="30"/>
      <c r="D22" s="41" t="s">
        <v>43</v>
      </c>
      <c r="E22" s="42">
        <v>4700</v>
      </c>
      <c r="F22" s="30"/>
      <c r="G22"/>
      <c r="H22" s="30"/>
    </row>
    <row r="23" spans="1:8" x14ac:dyDescent="0.25">
      <c r="A23" s="35">
        <v>0.155</v>
      </c>
      <c r="B23" s="30">
        <v>106260</v>
      </c>
      <c r="D23" s="43" t="s">
        <v>37</v>
      </c>
      <c r="E23" s="29">
        <v>7.0000000000000007E-2</v>
      </c>
    </row>
    <row r="25" spans="1:8" x14ac:dyDescent="0.25">
      <c r="A25" s="32" t="s">
        <v>36</v>
      </c>
      <c r="B25" s="36"/>
      <c r="C25" s="36"/>
      <c r="D25" s="36"/>
      <c r="E25" s="36"/>
      <c r="F25" s="36"/>
      <c r="G25" s="36"/>
      <c r="H25" s="36"/>
    </row>
    <row r="26" spans="1:8" x14ac:dyDescent="0.25">
      <c r="A26" s="31">
        <f>E21*E22*(1+E23)</f>
        <v>176015</v>
      </c>
      <c r="B26" s="37">
        <v>30</v>
      </c>
      <c r="C26" s="37">
        <f>B26+2.5</f>
        <v>32.5</v>
      </c>
      <c r="D26" s="37">
        <f t="shared" ref="D26:H26" si="1">C26+2.5</f>
        <v>35</v>
      </c>
      <c r="E26" s="37">
        <f t="shared" si="1"/>
        <v>37.5</v>
      </c>
      <c r="F26" s="37">
        <f t="shared" si="1"/>
        <v>40</v>
      </c>
      <c r="G26" s="37">
        <f t="shared" si="1"/>
        <v>42.5</v>
      </c>
      <c r="H26" s="37">
        <f t="shared" si="1"/>
        <v>45</v>
      </c>
    </row>
    <row r="27" spans="1:8" x14ac:dyDescent="0.25">
      <c r="A27" s="38">
        <v>0.03</v>
      </c>
      <c r="B27" s="30">
        <f t="dataTable" ref="B27:H34" dt2D="1" dtr="1" r1="E21" r2="E23"/>
        <v>145230</v>
      </c>
      <c r="C27" s="30">
        <v>157332.5</v>
      </c>
      <c r="D27" s="30">
        <v>169435</v>
      </c>
      <c r="E27" s="30">
        <v>181537.5</v>
      </c>
      <c r="F27" s="30">
        <v>193640</v>
      </c>
      <c r="G27" s="30">
        <v>205742.5</v>
      </c>
      <c r="H27" s="30">
        <v>217845</v>
      </c>
    </row>
    <row r="28" spans="1:8" x14ac:dyDescent="0.25">
      <c r="A28" s="38">
        <v>0.04</v>
      </c>
      <c r="B28" s="30">
        <v>146640</v>
      </c>
      <c r="C28" s="30">
        <v>158860</v>
      </c>
      <c r="D28" s="30">
        <v>171080</v>
      </c>
      <c r="E28" s="30">
        <v>183300</v>
      </c>
      <c r="F28" s="30">
        <v>195520</v>
      </c>
      <c r="G28" s="30">
        <v>207740</v>
      </c>
      <c r="H28" s="30">
        <v>219960</v>
      </c>
    </row>
    <row r="29" spans="1:8" x14ac:dyDescent="0.25">
      <c r="A29" s="38">
        <v>0.05</v>
      </c>
      <c r="B29" s="30">
        <v>148050</v>
      </c>
      <c r="C29" s="30">
        <v>160387.5</v>
      </c>
      <c r="D29" s="30">
        <v>172725</v>
      </c>
      <c r="E29" s="30">
        <v>185062.5</v>
      </c>
      <c r="F29" s="30">
        <v>197400</v>
      </c>
      <c r="G29" s="30">
        <v>209737.5</v>
      </c>
      <c r="H29" s="30">
        <v>222075</v>
      </c>
    </row>
    <row r="30" spans="1:8" x14ac:dyDescent="0.25">
      <c r="A30" s="38">
        <v>0.06</v>
      </c>
      <c r="B30" s="30">
        <v>149460</v>
      </c>
      <c r="C30" s="30">
        <v>161915</v>
      </c>
      <c r="D30" s="30">
        <v>174370</v>
      </c>
      <c r="E30" s="30">
        <v>186825</v>
      </c>
      <c r="F30" s="30">
        <v>199280</v>
      </c>
      <c r="G30" s="30">
        <v>211735</v>
      </c>
      <c r="H30" s="30">
        <v>224190</v>
      </c>
    </row>
    <row r="31" spans="1:8" x14ac:dyDescent="0.25">
      <c r="A31" s="38">
        <v>0.08</v>
      </c>
      <c r="B31" s="30">
        <v>152280</v>
      </c>
      <c r="C31" s="30">
        <v>164970</v>
      </c>
      <c r="D31" s="30">
        <v>177660</v>
      </c>
      <c r="E31" s="30">
        <v>190350</v>
      </c>
      <c r="F31" s="30">
        <v>203040</v>
      </c>
      <c r="G31" s="30">
        <v>215730</v>
      </c>
      <c r="H31" s="30">
        <v>228420.00000000003</v>
      </c>
    </row>
    <row r="32" spans="1:8" x14ac:dyDescent="0.25">
      <c r="A32" s="38">
        <v>0.09</v>
      </c>
      <c r="B32" s="30">
        <v>153690</v>
      </c>
      <c r="C32" s="30">
        <v>166497.5</v>
      </c>
      <c r="D32" s="30">
        <v>179305</v>
      </c>
      <c r="E32" s="30">
        <v>192112.5</v>
      </c>
      <c r="F32" s="30">
        <v>204920.00000000003</v>
      </c>
      <c r="G32" s="30">
        <v>217727.50000000003</v>
      </c>
      <c r="H32" s="30">
        <v>230535.00000000003</v>
      </c>
    </row>
    <row r="33" spans="1:8" x14ac:dyDescent="0.25">
      <c r="A33" s="38">
        <v>0.1</v>
      </c>
      <c r="B33" s="30">
        <v>155100</v>
      </c>
      <c r="C33" s="30">
        <v>168025</v>
      </c>
      <c r="D33" s="30">
        <v>180950.00000000003</v>
      </c>
      <c r="E33" s="30">
        <v>193875.00000000003</v>
      </c>
      <c r="F33" s="30">
        <v>206800.00000000003</v>
      </c>
      <c r="G33" s="30">
        <v>219725.00000000003</v>
      </c>
      <c r="H33" s="30">
        <v>232650.00000000003</v>
      </c>
    </row>
    <row r="34" spans="1:8" x14ac:dyDescent="0.25">
      <c r="A34" s="38">
        <v>0.11</v>
      </c>
      <c r="B34" s="30">
        <v>156510</v>
      </c>
      <c r="C34" s="30">
        <v>169552.50000000003</v>
      </c>
      <c r="D34" s="30">
        <v>182595.00000000003</v>
      </c>
      <c r="E34" s="30">
        <v>195637.50000000003</v>
      </c>
      <c r="F34" s="30">
        <v>208680.00000000003</v>
      </c>
      <c r="G34" s="30">
        <v>221722.50000000003</v>
      </c>
      <c r="H34" s="30">
        <v>234765.00000000003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AB7F-130F-430E-9EF8-3532AADA4BA6}">
  <sheetPr>
    <outlinePr summaryBelow="0"/>
  </sheetPr>
  <dimension ref="B1:G12"/>
  <sheetViews>
    <sheetView showGridLines="0" workbookViewId="0">
      <selection activeCell="C6" sqref="C6"/>
    </sheetView>
  </sheetViews>
  <sheetFormatPr defaultRowHeight="15" outlineLevelRow="1" outlineLevelCol="1" x14ac:dyDescent="0.25"/>
  <cols>
    <col min="3" max="3" width="25.140625" bestFit="1" customWidth="1"/>
    <col min="4" max="7" width="11.7109375" bestFit="1" customWidth="1" outlineLevel="1"/>
  </cols>
  <sheetData>
    <row r="1" spans="2:7" ht="15.75" thickBot="1" x14ac:dyDescent="0.3"/>
    <row r="2" spans="2:7" ht="15.75" x14ac:dyDescent="0.25">
      <c r="B2" s="53" t="s">
        <v>60</v>
      </c>
      <c r="C2" s="53"/>
      <c r="D2" s="58"/>
      <c r="E2" s="58"/>
      <c r="F2" s="58"/>
      <c r="G2" s="58"/>
    </row>
    <row r="3" spans="2:7" ht="15.75" collapsed="1" x14ac:dyDescent="0.25">
      <c r="B3" s="52"/>
      <c r="C3" s="52"/>
      <c r="D3" s="59" t="s">
        <v>62</v>
      </c>
      <c r="E3" s="59" t="s">
        <v>56</v>
      </c>
      <c r="F3" s="59" t="s">
        <v>58</v>
      </c>
      <c r="G3" s="59" t="s">
        <v>59</v>
      </c>
    </row>
    <row r="4" spans="2:7" ht="22.5" hidden="1" outlineLevel="1" x14ac:dyDescent="0.25">
      <c r="B4" s="55"/>
      <c r="C4" s="55"/>
      <c r="D4" s="48"/>
      <c r="E4" s="62" t="s">
        <v>57</v>
      </c>
      <c r="F4" s="62" t="s">
        <v>57</v>
      </c>
      <c r="G4" s="62" t="s">
        <v>57</v>
      </c>
    </row>
    <row r="5" spans="2:7" x14ac:dyDescent="0.25">
      <c r="B5" s="56" t="s">
        <v>61</v>
      </c>
      <c r="C5" s="56"/>
      <c r="D5" s="54"/>
      <c r="E5" s="54"/>
      <c r="F5" s="54"/>
      <c r="G5" s="54"/>
    </row>
    <row r="6" spans="2:7" outlineLevel="1" x14ac:dyDescent="0.25">
      <c r="B6" s="55"/>
      <c r="C6" s="55" t="s">
        <v>53</v>
      </c>
      <c r="D6" s="49">
        <v>35</v>
      </c>
      <c r="E6" s="60">
        <v>35</v>
      </c>
      <c r="F6" s="60">
        <v>30</v>
      </c>
      <c r="G6" s="60">
        <v>40</v>
      </c>
    </row>
    <row r="7" spans="2:7" outlineLevel="1" x14ac:dyDescent="0.25">
      <c r="B7" s="55"/>
      <c r="C7" s="55" t="s">
        <v>54</v>
      </c>
      <c r="D7" s="50">
        <v>2140</v>
      </c>
      <c r="E7" s="61">
        <v>2140</v>
      </c>
      <c r="F7" s="61">
        <v>2461</v>
      </c>
      <c r="G7" s="61">
        <v>1819</v>
      </c>
    </row>
    <row r="8" spans="2:7" x14ac:dyDescent="0.25">
      <c r="B8" s="56" t="s">
        <v>63</v>
      </c>
      <c r="C8" s="56"/>
      <c r="D8" s="54"/>
      <c r="E8" s="54"/>
      <c r="F8" s="54"/>
      <c r="G8" s="54"/>
    </row>
    <row r="9" spans="2:7" ht="15.75" outlineLevel="1" thickBot="1" x14ac:dyDescent="0.3">
      <c r="B9" s="57"/>
      <c r="C9" s="57" t="s">
        <v>55</v>
      </c>
      <c r="D9" s="51">
        <v>80000.000000000102</v>
      </c>
      <c r="E9" s="51">
        <v>80000.000000000102</v>
      </c>
      <c r="F9" s="51">
        <v>67594.202898550895</v>
      </c>
      <c r="G9" s="51">
        <v>55188.405797101499</v>
      </c>
    </row>
    <row r="10" spans="2:7" x14ac:dyDescent="0.25">
      <c r="B10" t="s">
        <v>64</v>
      </c>
    </row>
    <row r="11" spans="2:7" x14ac:dyDescent="0.25">
      <c r="B11" t="s">
        <v>65</v>
      </c>
    </row>
    <row r="12" spans="2:7" x14ac:dyDescent="0.25">
      <c r="B1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19A-7E22-4DAE-9EAE-5B6EE0DA0351}">
  <sheetPr>
    <outlinePr summaryBelow="0"/>
  </sheetPr>
  <dimension ref="B1:H13"/>
  <sheetViews>
    <sheetView showGridLines="0" workbookViewId="0">
      <selection activeCell="J11" sqref="J11"/>
    </sheetView>
  </sheetViews>
  <sheetFormatPr defaultRowHeight="15" outlineLevelRow="1" outlineLevelCol="1" x14ac:dyDescent="0.25"/>
  <cols>
    <col min="3" max="3" width="6" bestFit="1" customWidth="1"/>
    <col min="4" max="8" width="16.140625" bestFit="1" customWidth="1" outlineLevel="1"/>
  </cols>
  <sheetData>
    <row r="1" spans="2:8" ht="15.75" thickBot="1" x14ac:dyDescent="0.3"/>
    <row r="2" spans="2:8" ht="15.75" x14ac:dyDescent="0.25">
      <c r="B2" s="66" t="s">
        <v>60</v>
      </c>
      <c r="C2" s="66"/>
      <c r="D2" s="58"/>
      <c r="E2" s="58"/>
      <c r="F2" s="58"/>
      <c r="G2" s="58"/>
      <c r="H2" s="58"/>
    </row>
    <row r="3" spans="2:8" ht="15.75" collapsed="1" x14ac:dyDescent="0.25">
      <c r="B3" s="65"/>
      <c r="C3" s="65"/>
      <c r="D3" s="59" t="s">
        <v>62</v>
      </c>
      <c r="E3" s="59" t="s">
        <v>70</v>
      </c>
      <c r="F3" s="59" t="s">
        <v>72</v>
      </c>
      <c r="G3" s="59" t="s">
        <v>74</v>
      </c>
      <c r="H3" s="59" t="s">
        <v>75</v>
      </c>
    </row>
    <row r="4" spans="2:8" ht="22.5" hidden="1" outlineLevel="1" x14ac:dyDescent="0.25">
      <c r="B4" s="67"/>
      <c r="C4" s="67"/>
      <c r="D4" s="48"/>
      <c r="E4" s="62" t="s">
        <v>71</v>
      </c>
      <c r="F4" s="62" t="s">
        <v>73</v>
      </c>
      <c r="G4" s="62" t="s">
        <v>71</v>
      </c>
      <c r="H4" s="62" t="s">
        <v>71</v>
      </c>
    </row>
    <row r="5" spans="2:8" x14ac:dyDescent="0.25">
      <c r="B5" s="68" t="s">
        <v>61</v>
      </c>
      <c r="C5" s="68"/>
      <c r="D5" s="54"/>
      <c r="E5" s="54"/>
      <c r="F5" s="54"/>
      <c r="G5" s="54"/>
      <c r="H5" s="54"/>
    </row>
    <row r="6" spans="2:8" outlineLevel="1" x14ac:dyDescent="0.25">
      <c r="B6" s="67"/>
      <c r="C6" s="67" t="s">
        <v>67</v>
      </c>
      <c r="D6" s="64">
        <v>9.9999999770237107</v>
      </c>
      <c r="E6" s="70">
        <v>10.7620050763578</v>
      </c>
      <c r="F6" s="70">
        <v>10</v>
      </c>
      <c r="G6" s="70">
        <v>12</v>
      </c>
      <c r="H6" s="70">
        <v>9.9999999770237107</v>
      </c>
    </row>
    <row r="7" spans="2:8" outlineLevel="1" x14ac:dyDescent="0.25">
      <c r="B7" s="67"/>
      <c r="C7" s="67" t="s">
        <v>68</v>
      </c>
      <c r="D7" s="64">
        <v>8</v>
      </c>
      <c r="E7" s="70">
        <v>8.9170595804202097</v>
      </c>
      <c r="F7" s="70">
        <v>8</v>
      </c>
      <c r="G7" s="70">
        <v>8</v>
      </c>
      <c r="H7" s="70">
        <v>8</v>
      </c>
    </row>
    <row r="8" spans="2:8" outlineLevel="1" x14ac:dyDescent="0.25">
      <c r="B8" s="67"/>
      <c r="C8" s="67" t="s">
        <v>69</v>
      </c>
      <c r="D8" s="64">
        <v>1.0219134552734399</v>
      </c>
      <c r="E8" s="70">
        <v>6.25225087521879</v>
      </c>
      <c r="F8" s="70">
        <v>5</v>
      </c>
      <c r="G8" s="70">
        <v>6</v>
      </c>
      <c r="H8" s="70">
        <v>1.0219134552734399</v>
      </c>
    </row>
    <row r="9" spans="2:8" x14ac:dyDescent="0.25">
      <c r="B9" s="68" t="s">
        <v>63</v>
      </c>
      <c r="C9" s="68"/>
      <c r="D9" s="54"/>
      <c r="E9" s="54"/>
      <c r="F9" s="54"/>
      <c r="G9" s="54"/>
      <c r="H9" s="54"/>
    </row>
    <row r="10" spans="2:8" ht="15.75" outlineLevel="1" thickBot="1" x14ac:dyDescent="0.3">
      <c r="B10" s="69"/>
      <c r="C10" s="69" t="s">
        <v>55</v>
      </c>
      <c r="D10" s="51">
        <v>198800</v>
      </c>
      <c r="E10" s="51">
        <v>-136194.74212966199</v>
      </c>
      <c r="F10" s="51">
        <v>86300</v>
      </c>
      <c r="G10" s="51">
        <v>-44950</v>
      </c>
      <c r="H10" s="51">
        <v>198800</v>
      </c>
    </row>
    <row r="11" spans="2:8" x14ac:dyDescent="0.25">
      <c r="B11" t="s">
        <v>64</v>
      </c>
    </row>
    <row r="12" spans="2:8" x14ac:dyDescent="0.25">
      <c r="B12" t="s">
        <v>65</v>
      </c>
    </row>
    <row r="13" spans="2:8" x14ac:dyDescent="0.25">
      <c r="B1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zoomScale="110" zoomScaleNormal="110" workbookViewId="0">
      <selection activeCell="J14" sqref="J14"/>
    </sheetView>
  </sheetViews>
  <sheetFormatPr defaultColWidth="8.85546875" defaultRowHeight="15" x14ac:dyDescent="0.25"/>
  <cols>
    <col min="1" max="1" width="40.5703125" style="1" customWidth="1"/>
    <col min="2" max="2" width="12.5703125" style="1" customWidth="1"/>
    <col min="3" max="3" width="7.140625" style="1" customWidth="1"/>
    <col min="4" max="4" width="40.5703125" style="1" customWidth="1"/>
    <col min="5" max="5" width="11.7109375" style="1" customWidth="1"/>
    <col min="6" max="16384" width="8.85546875" style="1"/>
  </cols>
  <sheetData>
    <row r="1" spans="1:6" s="15" customFormat="1" ht="40.700000000000003" customHeight="1" x14ac:dyDescent="0.25">
      <c r="A1" s="12" t="s">
        <v>23</v>
      </c>
      <c r="B1" s="13"/>
      <c r="C1" s="13"/>
      <c r="D1" s="13"/>
      <c r="E1" s="13"/>
      <c r="F1" s="14"/>
    </row>
    <row r="2" spans="1:6" s="17" customFormat="1" ht="3.95" customHeight="1" x14ac:dyDescent="0.25">
      <c r="A2" s="18"/>
      <c r="B2" s="19"/>
      <c r="C2" s="19"/>
      <c r="D2" s="19"/>
      <c r="E2" s="19"/>
      <c r="F2" s="16"/>
    </row>
    <row r="3" spans="1:6" x14ac:dyDescent="0.25">
      <c r="A3" s="4"/>
      <c r="B3" s="4"/>
      <c r="C3" s="4"/>
      <c r="D3" s="4"/>
      <c r="E3" s="4"/>
      <c r="F3" s="4"/>
    </row>
    <row r="4" spans="1:6" ht="15.75" x14ac:dyDescent="0.25">
      <c r="A4" s="5" t="s">
        <v>21</v>
      </c>
      <c r="B4" s="4"/>
      <c r="C4" s="4"/>
      <c r="D4" s="5" t="s">
        <v>22</v>
      </c>
      <c r="E4" s="4"/>
      <c r="F4" s="4"/>
    </row>
    <row r="5" spans="1:6" x14ac:dyDescent="0.25">
      <c r="A5" s="4" t="s">
        <v>49</v>
      </c>
      <c r="B5" s="10">
        <v>12</v>
      </c>
      <c r="C5" s="4"/>
      <c r="D5" s="4" t="s">
        <v>0</v>
      </c>
      <c r="E5" s="4">
        <f>B5*B6</f>
        <v>12000</v>
      </c>
      <c r="F5" s="4"/>
    </row>
    <row r="6" spans="1:6" x14ac:dyDescent="0.25">
      <c r="A6" s="4" t="s">
        <v>35</v>
      </c>
      <c r="B6" s="10">
        <v>1000</v>
      </c>
      <c r="C6" s="4"/>
      <c r="D6" s="4" t="s">
        <v>4</v>
      </c>
      <c r="E6" s="6">
        <f>B7*B8*B9</f>
        <v>400</v>
      </c>
      <c r="F6" s="4"/>
    </row>
    <row r="7" spans="1:6" x14ac:dyDescent="0.25">
      <c r="A7" s="4" t="s">
        <v>1</v>
      </c>
      <c r="B7" s="63">
        <v>10</v>
      </c>
      <c r="C7" s="4"/>
      <c r="D7" s="4" t="s">
        <v>5</v>
      </c>
      <c r="E7" s="20">
        <f>E5/E6</f>
        <v>30</v>
      </c>
      <c r="F7" s="4"/>
    </row>
    <row r="8" spans="1:6" x14ac:dyDescent="0.25">
      <c r="A8" s="4" t="s">
        <v>2</v>
      </c>
      <c r="B8" s="63">
        <v>8</v>
      </c>
      <c r="C8" s="4"/>
      <c r="D8" s="4"/>
      <c r="E8" s="4"/>
      <c r="F8" s="4"/>
    </row>
    <row r="9" spans="1:6" ht="15.75" x14ac:dyDescent="0.25">
      <c r="A9" s="4" t="s">
        <v>3</v>
      </c>
      <c r="B9" s="63">
        <v>5</v>
      </c>
      <c r="C9" s="4"/>
      <c r="D9" s="5" t="s">
        <v>6</v>
      </c>
      <c r="E9" s="4"/>
      <c r="F9" s="4"/>
    </row>
    <row r="10" spans="1:6" x14ac:dyDescent="0.25">
      <c r="A10" s="4" t="s">
        <v>16</v>
      </c>
      <c r="B10" s="10">
        <v>35</v>
      </c>
      <c r="C10" s="4"/>
      <c r="D10" s="4" t="s">
        <v>7</v>
      </c>
      <c r="E10" s="4">
        <f>B8*B9</f>
        <v>40</v>
      </c>
      <c r="F10" s="4"/>
    </row>
    <row r="11" spans="1:6" x14ac:dyDescent="0.25">
      <c r="A11" s="4" t="s">
        <v>14</v>
      </c>
      <c r="B11" s="10">
        <v>50</v>
      </c>
      <c r="C11" s="4"/>
      <c r="D11" s="4" t="s">
        <v>8</v>
      </c>
      <c r="E11" s="7">
        <f>E10*B11</f>
        <v>2000</v>
      </c>
      <c r="F11" s="4"/>
    </row>
    <row r="12" spans="1:6" x14ac:dyDescent="0.25">
      <c r="A12" s="4" t="s">
        <v>15</v>
      </c>
      <c r="B12" s="10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25">
      <c r="C13" s="4"/>
      <c r="D13" s="4"/>
      <c r="E13" s="4"/>
      <c r="F13" s="4"/>
    </row>
    <row r="14" spans="1:6" ht="15.75" x14ac:dyDescent="0.25">
      <c r="A14" s="5" t="s">
        <v>10</v>
      </c>
      <c r="C14" s="4"/>
      <c r="D14" s="5" t="s">
        <v>17</v>
      </c>
      <c r="F14" s="4"/>
    </row>
    <row r="15" spans="1:6" x14ac:dyDescent="0.25">
      <c r="A15" s="4" t="s">
        <v>11</v>
      </c>
      <c r="B15" s="7">
        <f>E11+E12</f>
        <v>2375</v>
      </c>
      <c r="C15" s="4"/>
      <c r="D15" s="9" t="s">
        <v>38</v>
      </c>
      <c r="E15" s="44">
        <v>35</v>
      </c>
      <c r="F15" s="4"/>
    </row>
    <row r="16" spans="1:6" x14ac:dyDescent="0.25">
      <c r="A16" s="4" t="s">
        <v>12</v>
      </c>
      <c r="B16" s="7">
        <f>B15*B7</f>
        <v>23750</v>
      </c>
      <c r="C16" s="4"/>
      <c r="D16" s="9" t="s">
        <v>48</v>
      </c>
      <c r="E16" s="45">
        <v>2140</v>
      </c>
      <c r="F16" s="4"/>
    </row>
    <row r="17" spans="1:6" x14ac:dyDescent="0.25">
      <c r="A17" s="4" t="s">
        <v>13</v>
      </c>
      <c r="B17" s="7">
        <f>B16*E7</f>
        <v>712500</v>
      </c>
      <c r="C17" s="4"/>
      <c r="D17" s="9" t="s">
        <v>47</v>
      </c>
      <c r="E17" s="7">
        <f>E15*E16</f>
        <v>74900</v>
      </c>
      <c r="F17" s="4"/>
    </row>
    <row r="18" spans="1:6" x14ac:dyDescent="0.25">
      <c r="A18" s="4" t="s">
        <v>24</v>
      </c>
      <c r="B18" s="11">
        <v>100000</v>
      </c>
      <c r="C18" s="4"/>
      <c r="D18" s="9" t="s">
        <v>18</v>
      </c>
      <c r="E18" s="7">
        <f>E17*B5</f>
        <v>898800</v>
      </c>
      <c r="F18" s="4"/>
    </row>
    <row r="19" spans="1:6" x14ac:dyDescent="0.25">
      <c r="A19" s="4"/>
      <c r="B19" s="8"/>
      <c r="C19" s="4"/>
      <c r="D19" s="4"/>
      <c r="E19" s="4"/>
      <c r="F19" s="4"/>
    </row>
    <row r="20" spans="1:6" ht="15.75" thickBot="1" x14ac:dyDescent="0.3">
      <c r="A20" s="2" t="s">
        <v>19</v>
      </c>
      <c r="B20" s="3">
        <f>B17+B18</f>
        <v>812500</v>
      </c>
      <c r="C20" s="4"/>
      <c r="D20" s="2" t="s">
        <v>20</v>
      </c>
      <c r="E20" s="3">
        <f>E18-B20</f>
        <v>86300</v>
      </c>
      <c r="F20" s="4"/>
    </row>
    <row r="21" spans="1:6" ht="15.75" thickTop="1" x14ac:dyDescent="0.25">
      <c r="C21" s="4"/>
      <c r="D21" s="4"/>
      <c r="E21" s="4"/>
      <c r="F21" s="4"/>
    </row>
    <row r="22" spans="1:6" x14ac:dyDescent="0.25">
      <c r="C22" s="4"/>
      <c r="D22" s="4"/>
      <c r="E22" s="4"/>
      <c r="F22" s="4"/>
    </row>
    <row r="23" spans="1:6" x14ac:dyDescent="0.25">
      <c r="C23" s="4"/>
      <c r="D23" s="4"/>
      <c r="E23" s="4"/>
      <c r="F23" s="4"/>
    </row>
    <row r="24" spans="1:6" x14ac:dyDescent="0.25">
      <c r="C24" s="4"/>
      <c r="D24" s="4"/>
      <c r="E24" s="4"/>
      <c r="F24" s="4"/>
    </row>
    <row r="25" spans="1:6" x14ac:dyDescent="0.25"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</sheetData>
  <scenarios current="1" show="1" sqref="E20">
    <scenario name="20 weeks" count="3" user="Russell Tito" comment="Created by Russell Tito on 10/30/2026">
      <inputCells r="B7" val="10.7620050763578" numFmtId="1"/>
      <inputCells r="B8" val="8.91705958042021" numFmtId="1"/>
      <inputCells r="B9" val="6.25225087521879" numFmtId="1"/>
    </scenario>
    <scenario name="30 weeks (original)" locked="1" count="3" user="Russell Tito" comment="Created by Russell Tito on 30/10/2026">
      <inputCells r="B7" val="10" numFmtId="1"/>
      <inputCells r="B8" val="8" numFmtId="1"/>
      <inputCells r="B9" val="5" numFmtId="1"/>
    </scenario>
    <scenario name="21 weeks" count="3" user="Russell Tito" comment="Created by Russell Tito on 10/30/2026">
      <inputCells r="B7" val="12" numFmtId="1"/>
      <inputCells r="B8" val="8" numFmtId="1"/>
      <inputCells r="B9" val="6" numFmtId="1"/>
    </scenario>
    <scenario name="147 weeks" count="3" user="Russell Tito" comment="Created by Russell Tito on 10/30/2026">
      <inputCells r="B7" val="9.99999997702371" numFmtId="1"/>
      <inputCells r="B8" val="8" numFmtId="1"/>
      <inputCells r="B9" val="1.02191345527344" numFmtId="1"/>
    </scenario>
  </scenario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Projections &amp; Estimates</vt:lpstr>
      <vt:lpstr>Scenario Summary</vt:lpstr>
      <vt:lpstr>Scenario Summary 2</vt:lpstr>
      <vt:lpstr>Project Costing Model</vt:lpstr>
      <vt:lpstr>Quantity_Sold__Per_Manual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cp:lastPrinted>2026-10-30T21:05:32Z</cp:lastPrinted>
  <dcterms:created xsi:type="dcterms:W3CDTF">2017-08-25T02:34:34Z</dcterms:created>
  <dcterms:modified xsi:type="dcterms:W3CDTF">2026-10-30T21:06:31Z</dcterms:modified>
</cp:coreProperties>
</file>