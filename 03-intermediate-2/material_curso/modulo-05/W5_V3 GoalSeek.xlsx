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5\"/>
    </mc:Choice>
  </mc:AlternateContent>
  <xr:revisionPtr revIDLastSave="0" documentId="13_ncr:1_{9A6139A4-868A-4504-A943-C83DE38ADE9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jections &amp; Estimates" sheetId="3" r:id="rId1"/>
    <sheet name="Project Costing Model" sheetId="1" r:id="rId2"/>
  </sheets>
  <definedNames>
    <definedName name="Reviewers">'Projections &amp; Estimates'!#REF!</definedName>
    <definedName name="solver_adj" localSheetId="1" hidden="1">'Project Costing Model'!$B$7,'Project Costing Model'!$B$8,'Project Costing Model'!$B$9,'Project Costing Model'!$B$5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'Project Costing Model'!$B$7</definedName>
    <definedName name="solver_lhs2" localSheetId="1" hidden="1">'Project Costing Model'!$B$8</definedName>
    <definedName name="solver_lhs3" localSheetId="1" hidden="1">'Project Costing Model'!$B$8</definedName>
    <definedName name="solver_lhs4" localSheetId="1" hidden="1">'Project Costing Model'!$B$9</definedName>
    <definedName name="solver_lhs5" localSheetId="1" hidden="1">'Project Costing Model'!$B$9</definedName>
    <definedName name="solver_lhs6" localSheetId="1" hidden="1">'Project Costing Model'!$E$7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6</definedName>
    <definedName name="solver_nwt" localSheetId="1" hidden="1">1</definedName>
    <definedName name="solver_opt" localSheetId="1" hidden="1">'Project Costing Model'!$E$20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3</definedName>
    <definedName name="solver_rel4" localSheetId="1" hidden="1">1</definedName>
    <definedName name="solver_rel5" localSheetId="1" hidden="1">3</definedName>
    <definedName name="solver_rel6" localSheetId="1" hidden="1">1</definedName>
    <definedName name="solver_rhs1" localSheetId="1" hidden="1">12</definedName>
    <definedName name="solver_rhs2" localSheetId="1" hidden="1">8</definedName>
    <definedName name="solver_rhs3" localSheetId="1" hidden="1">5</definedName>
    <definedName name="solver_rhs4" localSheetId="1" hidden="1">6</definedName>
    <definedName name="solver_rhs5" localSheetId="1" hidden="1">5</definedName>
    <definedName name="solver_rhs6" localSheetId="1" hidden="1">24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24</definedName>
    <definedName name="solver_ver" localSheetId="1" hidden="1">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6" i="3" l="1"/>
  <c r="B15" i="3"/>
  <c r="E7" i="3"/>
  <c r="E8" i="3"/>
  <c r="E9" i="3"/>
  <c r="E10" i="3"/>
  <c r="E11" i="3"/>
  <c r="E6" i="3"/>
  <c r="G6" i="3" s="1"/>
  <c r="E17" i="1" l="1"/>
  <c r="E12" i="3"/>
  <c r="C26" i="3"/>
  <c r="D26" i="3"/>
  <c r="E26" i="3" s="1"/>
  <c r="F26" i="3" s="1"/>
  <c r="G26" i="3" s="1"/>
  <c r="H26" i="3" s="1"/>
  <c r="E18" i="1" l="1"/>
  <c r="E10" i="1"/>
  <c r="E12" i="1" s="1"/>
  <c r="E6" i="1"/>
  <c r="E5" i="1"/>
  <c r="E11" i="1" l="1"/>
  <c r="B15" i="1" s="1"/>
  <c r="B16" i="1" s="1"/>
  <c r="E7" i="1"/>
  <c r="B17" i="1" l="1"/>
  <c r="B20" i="1" s="1"/>
  <c r="E20" i="1" s="1"/>
</calcChain>
</file>

<file path=xl/sharedStrings.xml><?xml version="1.0" encoding="utf-8"?>
<sst xmlns="http://schemas.openxmlformats.org/spreadsheetml/2006/main" count="54" uniqueCount="53">
  <si>
    <t>Total effort (hours)</t>
  </si>
  <si>
    <t>Total staff</t>
  </si>
  <si>
    <t>Working day (hours)</t>
  </si>
  <si>
    <t>Working week (days)</t>
  </si>
  <si>
    <t>Total working week (hours)</t>
  </si>
  <si>
    <t>Calculated duration (weeks)</t>
  </si>
  <si>
    <t>Salary calculations (per person per week)</t>
  </si>
  <si>
    <t>Total hours per week</t>
  </si>
  <si>
    <t>Base salary ($50 per hour up to 40 hours per week)</t>
  </si>
  <si>
    <t>Overtime salary ($75 per hour over 40 hours per week)</t>
  </si>
  <si>
    <t>Costs</t>
  </si>
  <si>
    <t>Weekly salary (per person)</t>
  </si>
  <si>
    <t>Total weekly salaries</t>
  </si>
  <si>
    <t>Total project salaries</t>
  </si>
  <si>
    <t>Standard Hourly Rate</t>
  </si>
  <si>
    <t>Overtime Hourly Rate</t>
  </si>
  <si>
    <t>Standard Work Week Hours</t>
  </si>
  <si>
    <t>Revenues</t>
  </si>
  <si>
    <t>Total Revenue</t>
  </si>
  <si>
    <t>Total Project Costs</t>
  </si>
  <si>
    <t>Projected Profit</t>
  </si>
  <si>
    <t>Project Variables</t>
  </si>
  <si>
    <t>Project Duration</t>
  </si>
  <si>
    <t>Project Costing Overview</t>
  </si>
  <si>
    <t>Fixed Overheads</t>
  </si>
  <si>
    <t>High Level Design</t>
  </si>
  <si>
    <t>Technical Design</t>
  </si>
  <si>
    <t>Unit Testing</t>
  </si>
  <si>
    <t>Integrated Testing</t>
  </si>
  <si>
    <t>User Acceptance Testing</t>
  </si>
  <si>
    <t>Development</t>
  </si>
  <si>
    <t>TOTAL HOURS</t>
  </si>
  <si>
    <t>Most Pessimistic</t>
  </si>
  <si>
    <t>Most Optimistic</t>
  </si>
  <si>
    <t>High Level Tasks</t>
  </si>
  <si>
    <t>Man Hours per Manual</t>
  </si>
  <si>
    <t>Estimated Income</t>
  </si>
  <si>
    <t>Expected Increase</t>
  </si>
  <si>
    <t>Sale Price</t>
  </si>
  <si>
    <t>Estimated Fixed Expenses</t>
  </si>
  <si>
    <t>Previous Fixed Expenses</t>
  </si>
  <si>
    <t>Projections and Estimates</t>
  </si>
  <si>
    <t>Most Likely</t>
  </si>
  <si>
    <t>Previous Sales Units</t>
  </si>
  <si>
    <t>Estimated Increase</t>
  </si>
  <si>
    <t>Expenses</t>
  </si>
  <si>
    <t>Sales</t>
  </si>
  <si>
    <t>Per Manual Revenue</t>
  </si>
  <si>
    <t>Quantity Sold (Per Manual)</t>
  </si>
  <si>
    <t>Software Manuals</t>
  </si>
  <si>
    <t>Pert Estimation</t>
  </si>
  <si>
    <t>Weighting</t>
  </si>
  <si>
    <t>Tasks &gt;=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</si>
</sst>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.00"/>
    <numFmt numFmtId="166" formatCode="0.0%"/>
    <numFmt numFmtId="167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24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2"/>
      <color theme="0"/>
      <name val="Calibri Light"/>
      <family val="2"/>
      <scheme val="major"/>
    </font>
    <font>
      <sz val="10"/>
      <color theme="1"/>
      <name val="Calibri"/>
      <family val="2"/>
      <scheme val="minor"/>
    </font>
    <font>
      <sz val="8"/>
      <color theme="0"/>
      <name val="Calibri Light"/>
      <family val="2"/>
      <scheme val="maj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6" applyNumberFormat="0" applyAlignment="0" applyProtection="0"/>
    <xf numFmtId="0" fontId="19" fillId="2" borderId="6" applyNumberFormat="0" applyAlignment="0" applyProtection="0"/>
    <xf numFmtId="0" fontId="20" fillId="0" borderId="7" applyNumberFormat="0" applyFill="0" applyAlignment="0" applyProtection="0"/>
    <xf numFmtId="0" fontId="21" fillId="10" borderId="8" applyNumberFormat="0" applyAlignment="0" applyProtection="0"/>
    <xf numFmtId="0" fontId="22" fillId="0" borderId="0" applyNumberFormat="0" applyFill="0" applyBorder="0" applyAlignment="0" applyProtection="0"/>
    <xf numFmtId="0" fontId="1" fillId="11" borderId="9" applyNumberFormat="0" applyFont="0" applyAlignment="0" applyProtection="0"/>
    <xf numFmtId="0" fontId="23" fillId="0" borderId="0" applyNumberForma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49">
    <xf numFmtId="0" fontId="0" fillId="0" borderId="0" xfId="0"/>
    <xf numFmtId="0" fontId="1" fillId="0" borderId="0" xfId="0" applyFont="1"/>
    <xf numFmtId="164" fontId="3" fillId="5" borderId="2" xfId="2" applyNumberFormat="1" applyFont="1" applyFill="1"/>
    <xf numFmtId="165" fontId="3" fillId="5" borderId="2" xfId="2" applyNumberFormat="1" applyFont="1" applyFill="1"/>
    <xf numFmtId="0" fontId="8" fillId="0" borderId="0" xfId="6" applyFont="1"/>
    <xf numFmtId="0" fontId="9" fillId="0" borderId="0" xfId="6" applyFont="1"/>
    <xf numFmtId="1" fontId="8" fillId="0" borderId="0" xfId="6" applyNumberFormat="1" applyFont="1"/>
    <xf numFmtId="165" fontId="8" fillId="0" borderId="0" xfId="6" applyNumberFormat="1" applyFont="1"/>
    <xf numFmtId="0" fontId="10" fillId="0" borderId="0" xfId="6" applyFont="1"/>
    <xf numFmtId="0" fontId="8" fillId="0" borderId="0" xfId="6" applyFont="1" applyFill="1"/>
    <xf numFmtId="0" fontId="6" fillId="2" borderId="1" xfId="1" applyFont="1"/>
    <xf numFmtId="1" fontId="6" fillId="2" borderId="1" xfId="1" applyNumberFormat="1" applyFont="1"/>
    <xf numFmtId="165" fontId="6" fillId="2" borderId="1" xfId="1" applyNumberFormat="1" applyFont="1"/>
    <xf numFmtId="0" fontId="24" fillId="3" borderId="0" xfId="3" applyFont="1" applyAlignment="1">
      <alignment vertical="center"/>
    </xf>
    <xf numFmtId="0" fontId="7" fillId="3" borderId="0" xfId="3" applyFont="1" applyAlignment="1">
      <alignment vertical="center"/>
    </xf>
    <xf numFmtId="0" fontId="8" fillId="0" borderId="0" xfId="6" applyFont="1" applyAlignment="1">
      <alignment vertical="center"/>
    </xf>
    <xf numFmtId="0" fontId="1" fillId="0" borderId="0" xfId="0" applyFont="1" applyAlignment="1">
      <alignment vertical="center"/>
    </xf>
    <xf numFmtId="0" fontId="28" fillId="0" borderId="0" xfId="6" applyFont="1" applyAlignment="1">
      <alignment vertical="center"/>
    </xf>
    <xf numFmtId="0" fontId="29" fillId="0" borderId="0" xfId="0" applyFont="1" applyAlignment="1">
      <alignment vertical="center"/>
    </xf>
    <xf numFmtId="0" fontId="26" fillId="34" borderId="0" xfId="3" applyFont="1" applyFill="1" applyAlignment="1">
      <alignment vertical="center"/>
    </xf>
    <xf numFmtId="0" fontId="27" fillId="34" borderId="0" xfId="3" applyFont="1" applyFill="1" applyAlignment="1">
      <alignment vertical="center"/>
    </xf>
    <xf numFmtId="1" fontId="4" fillId="3" borderId="0" xfId="3" applyNumberFormat="1"/>
    <xf numFmtId="0" fontId="3" fillId="0" borderId="2" xfId="2"/>
    <xf numFmtId="0" fontId="7" fillId="3" borderId="0" xfId="3" applyFont="1" applyAlignment="1">
      <alignment horizontal="center" vertical="center"/>
    </xf>
    <xf numFmtId="0" fontId="27" fillId="34" borderId="0" xfId="3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2" applyAlignment="1">
      <alignment horizontal="center"/>
    </xf>
    <xf numFmtId="0" fontId="4" fillId="18" borderId="0" xfId="33" applyAlignment="1">
      <alignment vertical="center"/>
    </xf>
    <xf numFmtId="0" fontId="4" fillId="18" borderId="0" xfId="33" applyAlignment="1">
      <alignment horizontal="center" wrapText="1"/>
    </xf>
    <xf numFmtId="9" fontId="0" fillId="0" borderId="0" xfId="11" applyFont="1"/>
    <xf numFmtId="165" fontId="0" fillId="0" borderId="0" xfId="0" applyNumberFormat="1"/>
    <xf numFmtId="165" fontId="2" fillId="2" borderId="1" xfId="1" applyNumberFormat="1" applyAlignment="1"/>
    <xf numFmtId="0" fontId="4" fillId="18" borderId="0" xfId="33" applyAlignment="1">
      <alignment horizontal="right"/>
    </xf>
    <xf numFmtId="165" fontId="2" fillId="2" borderId="1" xfId="1" applyNumberFormat="1"/>
    <xf numFmtId="0" fontId="0" fillId="0" borderId="0" xfId="0"/>
    <xf numFmtId="166" fontId="1" fillId="19" borderId="0" xfId="34" applyNumberFormat="1"/>
    <xf numFmtId="0" fontId="4" fillId="18" borderId="0" xfId="33"/>
    <xf numFmtId="165" fontId="1" fillId="19" borderId="0" xfId="34" applyNumberFormat="1"/>
    <xf numFmtId="9" fontId="1" fillId="19" borderId="0" xfId="34" applyNumberFormat="1"/>
    <xf numFmtId="0" fontId="3" fillId="0" borderId="0" xfId="0" applyFont="1" applyAlignment="1">
      <alignment horizontal="right"/>
    </xf>
    <xf numFmtId="0" fontId="4" fillId="18" borderId="0" xfId="33" applyAlignment="1">
      <alignment horizontal="right" wrapText="1"/>
    </xf>
    <xf numFmtId="0" fontId="1" fillId="19" borderId="0" xfId="34" applyAlignment="1">
      <alignment horizontal="left"/>
    </xf>
    <xf numFmtId="0" fontId="0" fillId="0" borderId="0" xfId="11" applyNumberFormat="1" applyFont="1"/>
    <xf numFmtId="0" fontId="0" fillId="19" borderId="0" xfId="34" applyFont="1" applyAlignment="1">
      <alignment horizontal="left"/>
    </xf>
    <xf numFmtId="165" fontId="25" fillId="0" borderId="0" xfId="0" applyNumberFormat="1" applyFont="1"/>
    <xf numFmtId="167" fontId="25" fillId="0" borderId="0" xfId="10" applyNumberFormat="1" applyFont="1"/>
    <xf numFmtId="1" fontId="3" fillId="0" borderId="2" xfId="2" applyNumberFormat="1"/>
    <xf numFmtId="0" fontId="2" fillId="2" borderId="1" xfId="1"/>
  </cellXfs>
  <cellStyles count="49">
    <cellStyle name="20% - Accent1" xfId="27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8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9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3" builtinId="29" customBuiltin="1"/>
    <cellStyle name="Accent2" xfId="4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8" builtinId="27" customBuiltin="1"/>
    <cellStyle name="Calculation" xfId="21" builtinId="22" customBuiltin="1"/>
    <cellStyle name="Check Cell" xfId="23" builtinId="23" customBuiltin="1"/>
    <cellStyle name="Comma" xfId="10" builtinId="3"/>
    <cellStyle name="Comma 2" xfId="8" xr:uid="{00000000-0005-0000-0000-00001C000000}"/>
    <cellStyle name="Currency 2" xfId="7" xr:uid="{00000000-0005-0000-0000-00001D000000}"/>
    <cellStyle name="Currency 3" xfId="5" xr:uid="{00000000-0005-0000-0000-00001E000000}"/>
    <cellStyle name="Currency 4" xfId="9" xr:uid="{00000000-0005-0000-0000-00001F000000}"/>
    <cellStyle name="Explanatory Text" xfId="26" builtinId="53" customBuiltin="1"/>
    <cellStyle name="Good" xfId="17" builtinId="26" customBuiltin="1"/>
    <cellStyle name="Heading 1" xfId="13" builtinId="16" customBuiltin="1"/>
    <cellStyle name="Heading 2" xfId="14" builtinId="17" customBuiltin="1"/>
    <cellStyle name="Heading 3" xfId="15" builtinId="18" customBuiltin="1"/>
    <cellStyle name="Heading 4" xfId="16" builtinId="19" customBuiltin="1"/>
    <cellStyle name="Input" xfId="20" builtinId="20" customBuiltin="1"/>
    <cellStyle name="Linked Cell" xfId="22" builtinId="24" customBuiltin="1"/>
    <cellStyle name="Neutral" xfId="19" builtinId="28" customBuiltin="1"/>
    <cellStyle name="Normal" xfId="0" builtinId="0"/>
    <cellStyle name="Normal 2" xfId="6" xr:uid="{00000000-0005-0000-0000-00002A000000}"/>
    <cellStyle name="Note" xfId="25" builtinId="10" customBuiltin="1"/>
    <cellStyle name="Output" xfId="1" builtinId="21" customBuiltin="1"/>
    <cellStyle name="Percent" xfId="11" builtinId="5"/>
    <cellStyle name="Title" xfId="12" builtinId="15" customBuiltin="1"/>
    <cellStyle name="Total" xfId="2" builtinId="25" customBuiltin="1"/>
    <cellStyle name="Warning Text" xfId="2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0</xdr:row>
      <xdr:rowOff>428625</xdr:rowOff>
    </xdr:from>
    <xdr:to>
      <xdr:col>11</xdr:col>
      <xdr:colOff>447675</xdr:colOff>
      <xdr:row>8</xdr:row>
      <xdr:rowOff>47625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217F338-AB32-4DD1-88C0-3767386D7EF5}"/>
            </a:ext>
          </a:extLst>
        </xdr:cNvPr>
        <xdr:cNvSpPr/>
      </xdr:nvSpPr>
      <xdr:spPr>
        <a:xfrm>
          <a:off x="8305800" y="428625"/>
          <a:ext cx="3248025" cy="133350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Set</a:t>
          </a:r>
          <a:r>
            <a:rPr lang="es-419" sz="1100" baseline="0"/>
            <a:t> Cell:</a:t>
          </a:r>
        </a:p>
        <a:p>
          <a:pPr algn="l"/>
          <a:r>
            <a:rPr lang="es-419" sz="1100" baseline="0"/>
            <a:t>                - celda que quremos variar</a:t>
          </a:r>
        </a:p>
        <a:p>
          <a:pPr algn="l"/>
          <a:r>
            <a:rPr lang="es-419" sz="1100" baseline="0"/>
            <a:t>To value:</a:t>
          </a:r>
        </a:p>
        <a:p>
          <a:pPr algn="l"/>
          <a:r>
            <a:rPr lang="es-419" sz="1100" baseline="0"/>
            <a:t>                - valor de la celda que queremos variar</a:t>
          </a:r>
        </a:p>
        <a:p>
          <a:pPr algn="l"/>
          <a:r>
            <a:rPr lang="es-419" sz="1100"/>
            <a:t>By changing cell</a:t>
          </a:r>
        </a:p>
        <a:p>
          <a:pPr algn="l"/>
          <a:r>
            <a:rPr lang="es-419" sz="1100" baseline="0"/>
            <a:t>                - la unca celda x_i que variara.</a:t>
          </a:r>
          <a:endParaRPr lang="es-419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workbookViewId="0"/>
  </sheetViews>
  <sheetFormatPr defaultRowHeight="15" x14ac:dyDescent="0.25"/>
  <cols>
    <col min="1" max="1" width="22.42578125" customWidth="1"/>
    <col min="2" max="3" width="18.42578125" customWidth="1"/>
    <col min="4" max="4" width="19.5703125" customWidth="1"/>
    <col min="5" max="5" width="18.42578125" customWidth="1"/>
    <col min="6" max="6" width="17.42578125" customWidth="1"/>
    <col min="7" max="7" width="20.85546875" bestFit="1" customWidth="1"/>
    <col min="8" max="8" width="17.42578125" customWidth="1"/>
  </cols>
  <sheetData>
    <row r="1" spans="1:8" s="35" customFormat="1" ht="40.700000000000003" customHeight="1" x14ac:dyDescent="0.25">
      <c r="A1" s="13" t="s">
        <v>41</v>
      </c>
      <c r="B1" s="23"/>
      <c r="C1" s="23"/>
      <c r="D1" s="23"/>
      <c r="E1" s="14"/>
      <c r="F1" s="14"/>
      <c r="G1" s="14"/>
      <c r="H1" s="14"/>
    </row>
    <row r="2" spans="1:8" s="35" customFormat="1" ht="3.95" customHeight="1" x14ac:dyDescent="0.25">
      <c r="A2" s="19"/>
      <c r="B2" s="24"/>
      <c r="C2" s="24"/>
      <c r="D2" s="24"/>
      <c r="E2" s="20"/>
      <c r="F2" s="20"/>
      <c r="G2" s="20"/>
      <c r="H2" s="20"/>
    </row>
    <row r="4" spans="1:8" x14ac:dyDescent="0.25">
      <c r="B4" s="26">
        <v>1</v>
      </c>
      <c r="C4" s="26">
        <v>4</v>
      </c>
      <c r="D4" s="26">
        <v>1</v>
      </c>
      <c r="E4" s="40" t="s">
        <v>51</v>
      </c>
    </row>
    <row r="5" spans="1:8" s="35" customFormat="1" x14ac:dyDescent="0.25">
      <c r="A5" s="28" t="s">
        <v>34</v>
      </c>
      <c r="B5" s="29" t="s">
        <v>32</v>
      </c>
      <c r="C5" s="29" t="s">
        <v>42</v>
      </c>
      <c r="D5" s="29" t="s">
        <v>33</v>
      </c>
      <c r="E5" s="41" t="s">
        <v>50</v>
      </c>
      <c r="G5" s="29" t="s">
        <v>52</v>
      </c>
    </row>
    <row r="6" spans="1:8" x14ac:dyDescent="0.25">
      <c r="A6" s="35" t="s">
        <v>25</v>
      </c>
      <c r="B6" s="25">
        <v>64</v>
      </c>
      <c r="C6" s="25">
        <v>36.000000000000036</v>
      </c>
      <c r="D6" s="25">
        <v>32</v>
      </c>
      <c r="E6" s="35">
        <f>SUMPRODUCT(B6:D6,$B$4:$D$4)/6</f>
        <v>40.000000000000021</v>
      </c>
      <c r="G6" s="48">
        <f>SUMPRODUCT(1*(E6:E11&gt;=100))</f>
        <v>3</v>
      </c>
    </row>
    <row r="7" spans="1:8" x14ac:dyDescent="0.25">
      <c r="A7" s="35" t="s">
        <v>26</v>
      </c>
      <c r="B7" s="25">
        <v>160</v>
      </c>
      <c r="C7" s="25">
        <v>115</v>
      </c>
      <c r="D7" s="25">
        <v>100</v>
      </c>
      <c r="E7" s="35">
        <f t="shared" ref="E7:E11" si="0">SUMPRODUCT(B7:D7,$B$4:$D$4)/6</f>
        <v>120</v>
      </c>
      <c r="F7" s="35"/>
    </row>
    <row r="8" spans="1:8" x14ac:dyDescent="0.25">
      <c r="A8" s="35" t="s">
        <v>30</v>
      </c>
      <c r="B8" s="25">
        <v>760</v>
      </c>
      <c r="C8" s="25">
        <v>575</v>
      </c>
      <c r="D8" s="25">
        <v>479.99999999999989</v>
      </c>
      <c r="E8" s="35">
        <f t="shared" si="0"/>
        <v>590</v>
      </c>
      <c r="F8" s="35"/>
    </row>
    <row r="9" spans="1:8" x14ac:dyDescent="0.25">
      <c r="A9" s="35" t="s">
        <v>27</v>
      </c>
      <c r="B9" s="25">
        <v>100</v>
      </c>
      <c r="C9" s="25">
        <v>70</v>
      </c>
      <c r="D9" s="25">
        <v>40</v>
      </c>
      <c r="E9" s="35">
        <f t="shared" si="0"/>
        <v>70</v>
      </c>
      <c r="F9" s="35"/>
    </row>
    <row r="10" spans="1:8" x14ac:dyDescent="0.25">
      <c r="A10" s="35" t="s">
        <v>28</v>
      </c>
      <c r="B10" s="25">
        <v>110</v>
      </c>
      <c r="C10" s="25">
        <v>80</v>
      </c>
      <c r="D10" s="25">
        <v>50</v>
      </c>
      <c r="E10" s="35">
        <f t="shared" si="0"/>
        <v>80</v>
      </c>
      <c r="F10" s="35"/>
    </row>
    <row r="11" spans="1:8" x14ac:dyDescent="0.25">
      <c r="A11" s="35" t="s">
        <v>29</v>
      </c>
      <c r="B11" s="25">
        <v>130</v>
      </c>
      <c r="C11" s="25">
        <v>110</v>
      </c>
      <c r="D11" s="25">
        <v>29.999999999999915</v>
      </c>
      <c r="E11" s="35">
        <f t="shared" si="0"/>
        <v>99.999999999999986</v>
      </c>
      <c r="F11" s="35"/>
    </row>
    <row r="12" spans="1:8" ht="15.75" thickBot="1" x14ac:dyDescent="0.3">
      <c r="A12" s="22" t="s">
        <v>31</v>
      </c>
      <c r="B12" s="27"/>
      <c r="C12" s="27"/>
      <c r="D12" s="27"/>
      <c r="E12" s="47">
        <f>SUM(E6:E11)</f>
        <v>1000</v>
      </c>
      <c r="F12" s="31"/>
    </row>
    <row r="13" spans="1:8" ht="15.75" thickTop="1" x14ac:dyDescent="0.25">
      <c r="A13" s="35"/>
      <c r="B13" s="25"/>
      <c r="C13" s="25"/>
      <c r="D13" s="25"/>
      <c r="E13" s="35"/>
      <c r="F13" s="31"/>
    </row>
    <row r="14" spans="1:8" x14ac:dyDescent="0.25">
      <c r="C14" s="31"/>
      <c r="D14" s="31"/>
      <c r="E14" s="31"/>
      <c r="F14" s="31"/>
    </row>
    <row r="15" spans="1:8" x14ac:dyDescent="0.25">
      <c r="A15" s="33" t="s">
        <v>39</v>
      </c>
      <c r="B15" s="34">
        <f>E16*(1+E17)</f>
        <v>100280.00000000001</v>
      </c>
      <c r="C15" s="31"/>
      <c r="D15" s="37" t="s">
        <v>45</v>
      </c>
      <c r="E15" s="37"/>
      <c r="F15" s="31"/>
    </row>
    <row r="16" spans="1:8" x14ac:dyDescent="0.25">
      <c r="A16" s="36">
        <v>0.05</v>
      </c>
      <c r="B16" s="31">
        <f t="dataTable" ref="B16:B23" dt2D="0" dtr="0" r1="E17"/>
        <v>96600</v>
      </c>
      <c r="C16" s="31"/>
      <c r="D16" s="42" t="s">
        <v>40</v>
      </c>
      <c r="E16" s="31">
        <v>92000</v>
      </c>
      <c r="F16" s="31"/>
    </row>
    <row r="17" spans="1:8" x14ac:dyDescent="0.25">
      <c r="A17" s="36">
        <v>6.5000000000000002E-2</v>
      </c>
      <c r="B17" s="31">
        <v>97980</v>
      </c>
      <c r="C17" s="31"/>
      <c r="D17" s="42" t="s">
        <v>44</v>
      </c>
      <c r="E17" s="30">
        <v>0.09</v>
      </c>
      <c r="F17" s="31"/>
    </row>
    <row r="18" spans="1:8" x14ac:dyDescent="0.25">
      <c r="A18" s="36">
        <v>0.08</v>
      </c>
      <c r="B18" s="31">
        <v>99360</v>
      </c>
      <c r="C18" s="31"/>
      <c r="F18" s="31"/>
    </row>
    <row r="19" spans="1:8" x14ac:dyDescent="0.25">
      <c r="A19" s="36">
        <v>9.5000000000000001E-2</v>
      </c>
      <c r="B19" s="31">
        <v>100740</v>
      </c>
      <c r="C19" s="31"/>
      <c r="F19" s="31"/>
    </row>
    <row r="20" spans="1:8" s="35" customFormat="1" x14ac:dyDescent="0.25">
      <c r="A20" s="36">
        <v>0.11</v>
      </c>
      <c r="B20" s="31">
        <v>102120.00000000001</v>
      </c>
      <c r="C20" s="31"/>
      <c r="D20" s="37" t="s">
        <v>46</v>
      </c>
      <c r="E20" s="37"/>
      <c r="F20" s="31"/>
      <c r="G20"/>
      <c r="H20" s="31"/>
    </row>
    <row r="21" spans="1:8" s="35" customFormat="1" x14ac:dyDescent="0.25">
      <c r="A21" s="36">
        <v>0.125</v>
      </c>
      <c r="B21" s="31">
        <v>103500</v>
      </c>
      <c r="C21" s="31"/>
      <c r="D21" s="42" t="s">
        <v>38</v>
      </c>
      <c r="E21" s="31">
        <v>35</v>
      </c>
      <c r="F21" s="31"/>
      <c r="G21"/>
      <c r="H21" s="31"/>
    </row>
    <row r="22" spans="1:8" s="35" customFormat="1" x14ac:dyDescent="0.25">
      <c r="A22" s="36">
        <v>0.14000000000000001</v>
      </c>
      <c r="B22" s="31">
        <v>104880.00000000001</v>
      </c>
      <c r="C22" s="31"/>
      <c r="D22" s="42" t="s">
        <v>43</v>
      </c>
      <c r="E22" s="43">
        <v>4700</v>
      </c>
      <c r="F22" s="31"/>
      <c r="G22"/>
      <c r="H22" s="31"/>
    </row>
    <row r="23" spans="1:8" x14ac:dyDescent="0.25">
      <c r="A23" s="36">
        <v>0.155</v>
      </c>
      <c r="B23" s="31">
        <v>106260</v>
      </c>
      <c r="D23" s="44" t="s">
        <v>37</v>
      </c>
      <c r="E23" s="30">
        <v>7.0000000000000007E-2</v>
      </c>
    </row>
    <row r="25" spans="1:8" x14ac:dyDescent="0.25">
      <c r="A25" s="33" t="s">
        <v>36</v>
      </c>
      <c r="B25" s="37"/>
      <c r="C25" s="37"/>
      <c r="D25" s="37"/>
      <c r="E25" s="37"/>
      <c r="F25" s="37"/>
      <c r="G25" s="37"/>
      <c r="H25" s="37"/>
    </row>
    <row r="26" spans="1:8" x14ac:dyDescent="0.25">
      <c r="A26" s="32">
        <f>E21*E22*(1+E23)</f>
        <v>176015</v>
      </c>
      <c r="B26" s="38">
        <v>30</v>
      </c>
      <c r="C26" s="38">
        <f>B26+2.5</f>
        <v>32.5</v>
      </c>
      <c r="D26" s="38">
        <f t="shared" ref="D26:H26" si="1">C26+2.5</f>
        <v>35</v>
      </c>
      <c r="E26" s="38">
        <f t="shared" si="1"/>
        <v>37.5</v>
      </c>
      <c r="F26" s="38">
        <f t="shared" si="1"/>
        <v>40</v>
      </c>
      <c r="G26" s="38">
        <f t="shared" si="1"/>
        <v>42.5</v>
      </c>
      <c r="H26" s="38">
        <f t="shared" si="1"/>
        <v>45</v>
      </c>
    </row>
    <row r="27" spans="1:8" x14ac:dyDescent="0.25">
      <c r="A27" s="39">
        <v>0.03</v>
      </c>
      <c r="B27" s="31">
        <f t="dataTable" ref="B27:H34" dt2D="1" dtr="1" r1="E21" r2="E23"/>
        <v>145230</v>
      </c>
      <c r="C27" s="31">
        <v>157332.5</v>
      </c>
      <c r="D27" s="31">
        <v>169435</v>
      </c>
      <c r="E27" s="31">
        <v>181537.5</v>
      </c>
      <c r="F27" s="31">
        <v>193640</v>
      </c>
      <c r="G27" s="31">
        <v>205742.5</v>
      </c>
      <c r="H27" s="31">
        <v>217845</v>
      </c>
    </row>
    <row r="28" spans="1:8" x14ac:dyDescent="0.25">
      <c r="A28" s="39">
        <v>0.04</v>
      </c>
      <c r="B28" s="31">
        <v>146640</v>
      </c>
      <c r="C28" s="31">
        <v>158860</v>
      </c>
      <c r="D28" s="31">
        <v>171080</v>
      </c>
      <c r="E28" s="31">
        <v>183300</v>
      </c>
      <c r="F28" s="31">
        <v>195520</v>
      </c>
      <c r="G28" s="31">
        <v>207740</v>
      </c>
      <c r="H28" s="31">
        <v>219960</v>
      </c>
    </row>
    <row r="29" spans="1:8" x14ac:dyDescent="0.25">
      <c r="A29" s="39">
        <v>0.05</v>
      </c>
      <c r="B29" s="31">
        <v>148050</v>
      </c>
      <c r="C29" s="31">
        <v>160387.5</v>
      </c>
      <c r="D29" s="31">
        <v>172725</v>
      </c>
      <c r="E29" s="31">
        <v>185062.5</v>
      </c>
      <c r="F29" s="31">
        <v>197400</v>
      </c>
      <c r="G29" s="31">
        <v>209737.5</v>
      </c>
      <c r="H29" s="31">
        <v>222075</v>
      </c>
    </row>
    <row r="30" spans="1:8" x14ac:dyDescent="0.25">
      <c r="A30" s="39">
        <v>0.06</v>
      </c>
      <c r="B30" s="31">
        <v>149460</v>
      </c>
      <c r="C30" s="31">
        <v>161915</v>
      </c>
      <c r="D30" s="31">
        <v>174370</v>
      </c>
      <c r="E30" s="31">
        <v>186825</v>
      </c>
      <c r="F30" s="31">
        <v>199280</v>
      </c>
      <c r="G30" s="31">
        <v>211735</v>
      </c>
      <c r="H30" s="31">
        <v>224190</v>
      </c>
    </row>
    <row r="31" spans="1:8" x14ac:dyDescent="0.25">
      <c r="A31" s="39">
        <v>0.08</v>
      </c>
      <c r="B31" s="31">
        <v>152280</v>
      </c>
      <c r="C31" s="31">
        <v>164970</v>
      </c>
      <c r="D31" s="31">
        <v>177660</v>
      </c>
      <c r="E31" s="31">
        <v>190350</v>
      </c>
      <c r="F31" s="31">
        <v>203040</v>
      </c>
      <c r="G31" s="31">
        <v>215730</v>
      </c>
      <c r="H31" s="31">
        <v>228420.00000000003</v>
      </c>
    </row>
    <row r="32" spans="1:8" x14ac:dyDescent="0.25">
      <c r="A32" s="39">
        <v>0.09</v>
      </c>
      <c r="B32" s="31">
        <v>153690</v>
      </c>
      <c r="C32" s="31">
        <v>166497.5</v>
      </c>
      <c r="D32" s="31">
        <v>179305</v>
      </c>
      <c r="E32" s="31">
        <v>192112.5</v>
      </c>
      <c r="F32" s="31">
        <v>204920.00000000003</v>
      </c>
      <c r="G32" s="31">
        <v>217727.50000000003</v>
      </c>
      <c r="H32" s="31">
        <v>230535.00000000003</v>
      </c>
    </row>
    <row r="33" spans="1:8" x14ac:dyDescent="0.25">
      <c r="A33" s="39">
        <v>0.1</v>
      </c>
      <c r="B33" s="31">
        <v>155100</v>
      </c>
      <c r="C33" s="31">
        <v>168025</v>
      </c>
      <c r="D33" s="31">
        <v>180950.00000000003</v>
      </c>
      <c r="E33" s="31">
        <v>193875.00000000003</v>
      </c>
      <c r="F33" s="31">
        <v>206800.00000000003</v>
      </c>
      <c r="G33" s="31">
        <v>219725.00000000003</v>
      </c>
      <c r="H33" s="31">
        <v>232650.00000000003</v>
      </c>
    </row>
    <row r="34" spans="1:8" x14ac:dyDescent="0.25">
      <c r="A34" s="39">
        <v>0.11</v>
      </c>
      <c r="B34" s="31">
        <v>156510</v>
      </c>
      <c r="C34" s="31">
        <v>169552.50000000003</v>
      </c>
      <c r="D34" s="31">
        <v>182595.00000000003</v>
      </c>
      <c r="E34" s="31">
        <v>195637.50000000003</v>
      </c>
      <c r="F34" s="31">
        <v>208680.00000000003</v>
      </c>
      <c r="G34" s="31">
        <v>221722.50000000003</v>
      </c>
      <c r="H34" s="31">
        <v>234765.00000000003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abSelected="1" workbookViewId="0">
      <selection activeCell="L13" sqref="L13"/>
    </sheetView>
  </sheetViews>
  <sheetFormatPr defaultColWidth="8.85546875" defaultRowHeight="15" x14ac:dyDescent="0.25"/>
  <cols>
    <col min="1" max="1" width="40.5703125" style="1" customWidth="1"/>
    <col min="2" max="2" width="12.5703125" style="1" customWidth="1"/>
    <col min="3" max="3" width="7.140625" style="1" customWidth="1"/>
    <col min="4" max="4" width="40.5703125" style="1" customWidth="1"/>
    <col min="5" max="5" width="12.5703125" style="1" customWidth="1"/>
    <col min="6" max="16384" width="8.85546875" style="1"/>
  </cols>
  <sheetData>
    <row r="1" spans="1:6" s="16" customFormat="1" ht="40.700000000000003" customHeight="1" x14ac:dyDescent="0.25">
      <c r="A1" s="13" t="s">
        <v>23</v>
      </c>
      <c r="B1" s="14"/>
      <c r="C1" s="14"/>
      <c r="D1" s="14"/>
      <c r="E1" s="14"/>
      <c r="F1" s="15"/>
    </row>
    <row r="2" spans="1:6" s="18" customFormat="1" ht="3.95" customHeight="1" x14ac:dyDescent="0.25">
      <c r="A2" s="19"/>
      <c r="B2" s="20"/>
      <c r="C2" s="20"/>
      <c r="D2" s="20"/>
      <c r="E2" s="20"/>
      <c r="F2" s="17"/>
    </row>
    <row r="3" spans="1:6" x14ac:dyDescent="0.25">
      <c r="A3" s="4"/>
      <c r="B3" s="4"/>
      <c r="C3" s="4"/>
      <c r="D3" s="4"/>
      <c r="E3" s="4"/>
      <c r="F3" s="4"/>
    </row>
    <row r="4" spans="1:6" ht="15.75" x14ac:dyDescent="0.25">
      <c r="A4" s="5" t="s">
        <v>21</v>
      </c>
      <c r="B4" s="4"/>
      <c r="C4" s="4"/>
      <c r="D4" s="5" t="s">
        <v>22</v>
      </c>
      <c r="E4" s="4"/>
      <c r="F4" s="4"/>
    </row>
    <row r="5" spans="1:6" x14ac:dyDescent="0.25">
      <c r="A5" s="4" t="s">
        <v>49</v>
      </c>
      <c r="B5" s="10">
        <v>12</v>
      </c>
      <c r="C5" s="4"/>
      <c r="D5" s="4" t="s">
        <v>0</v>
      </c>
      <c r="E5" s="4">
        <f>B5*B6</f>
        <v>13453.47368421053</v>
      </c>
      <c r="F5" s="4"/>
    </row>
    <row r="6" spans="1:6" x14ac:dyDescent="0.25">
      <c r="A6" s="4" t="s">
        <v>35</v>
      </c>
      <c r="B6" s="10">
        <v>1121.1228070175441</v>
      </c>
      <c r="C6" s="4"/>
      <c r="D6" s="4" t="s">
        <v>4</v>
      </c>
      <c r="E6" s="6">
        <f>B7*B8*B9</f>
        <v>400</v>
      </c>
      <c r="F6" s="4"/>
    </row>
    <row r="7" spans="1:6" x14ac:dyDescent="0.25">
      <c r="A7" s="4" t="s">
        <v>1</v>
      </c>
      <c r="B7" s="11">
        <v>10</v>
      </c>
      <c r="C7" s="4"/>
      <c r="D7" s="4" t="s">
        <v>5</v>
      </c>
      <c r="E7" s="21">
        <f>E5/E6</f>
        <v>33.633684210526326</v>
      </c>
      <c r="F7" s="4"/>
    </row>
    <row r="8" spans="1:6" x14ac:dyDescent="0.25">
      <c r="A8" s="4" t="s">
        <v>2</v>
      </c>
      <c r="B8" s="11">
        <v>8</v>
      </c>
      <c r="C8" s="4"/>
      <c r="D8" s="4"/>
      <c r="E8" s="4"/>
      <c r="F8" s="4"/>
    </row>
    <row r="9" spans="1:6" ht="15.75" x14ac:dyDescent="0.25">
      <c r="A9" s="4" t="s">
        <v>3</v>
      </c>
      <c r="B9" s="11">
        <v>5</v>
      </c>
      <c r="C9" s="4"/>
      <c r="D9" s="5" t="s">
        <v>6</v>
      </c>
      <c r="E9" s="4"/>
      <c r="F9" s="4"/>
    </row>
    <row r="10" spans="1:6" x14ac:dyDescent="0.25">
      <c r="A10" s="4" t="s">
        <v>16</v>
      </c>
      <c r="B10" s="10">
        <v>35</v>
      </c>
      <c r="C10" s="4"/>
      <c r="D10" s="4" t="s">
        <v>7</v>
      </c>
      <c r="E10" s="4">
        <f>B8*B9</f>
        <v>40</v>
      </c>
      <c r="F10" s="4"/>
    </row>
    <row r="11" spans="1:6" x14ac:dyDescent="0.25">
      <c r="A11" s="4" t="s">
        <v>14</v>
      </c>
      <c r="B11" s="10">
        <v>50</v>
      </c>
      <c r="C11" s="4"/>
      <c r="D11" s="4" t="s">
        <v>8</v>
      </c>
      <c r="E11" s="7">
        <f>E10*B11</f>
        <v>2000</v>
      </c>
      <c r="F11" s="4"/>
    </row>
    <row r="12" spans="1:6" x14ac:dyDescent="0.25">
      <c r="A12" s="4" t="s">
        <v>15</v>
      </c>
      <c r="B12" s="10">
        <v>75</v>
      </c>
      <c r="C12" s="4"/>
      <c r="D12" s="4" t="s">
        <v>9</v>
      </c>
      <c r="E12" s="7">
        <f>IF(E10&gt;B10,(E10-B10)*B12,0)</f>
        <v>375</v>
      </c>
      <c r="F12" s="4"/>
    </row>
    <row r="13" spans="1:6" x14ac:dyDescent="0.25">
      <c r="C13" s="4"/>
      <c r="D13" s="4"/>
      <c r="E13" s="4"/>
      <c r="F13" s="4"/>
    </row>
    <row r="14" spans="1:6" ht="15.75" x14ac:dyDescent="0.25">
      <c r="A14" s="5" t="s">
        <v>10</v>
      </c>
      <c r="C14" s="4"/>
      <c r="D14" s="5" t="s">
        <v>17</v>
      </c>
      <c r="F14" s="4"/>
    </row>
    <row r="15" spans="1:6" x14ac:dyDescent="0.25">
      <c r="A15" s="4" t="s">
        <v>11</v>
      </c>
      <c r="B15" s="7">
        <f>E11+E12</f>
        <v>2375</v>
      </c>
      <c r="C15" s="4"/>
      <c r="D15" s="9" t="s">
        <v>38</v>
      </c>
      <c r="E15" s="45">
        <v>35</v>
      </c>
      <c r="F15" s="4"/>
    </row>
    <row r="16" spans="1:6" x14ac:dyDescent="0.25">
      <c r="A16" s="4" t="s">
        <v>12</v>
      </c>
      <c r="B16" s="7">
        <f>B15*B7</f>
        <v>23750</v>
      </c>
      <c r="C16" s="4"/>
      <c r="D16" s="9" t="s">
        <v>48</v>
      </c>
      <c r="E16" s="46">
        <v>2140</v>
      </c>
      <c r="F16" s="4"/>
    </row>
    <row r="17" spans="1:6" x14ac:dyDescent="0.25">
      <c r="A17" s="4" t="s">
        <v>13</v>
      </c>
      <c r="B17" s="7">
        <f>B16*E7</f>
        <v>798800.00000000023</v>
      </c>
      <c r="C17" s="4"/>
      <c r="D17" s="9" t="s">
        <v>47</v>
      </c>
      <c r="E17" s="7">
        <f>E15*E16</f>
        <v>74900</v>
      </c>
      <c r="F17" s="4"/>
    </row>
    <row r="18" spans="1:6" x14ac:dyDescent="0.25">
      <c r="A18" s="4" t="s">
        <v>24</v>
      </c>
      <c r="B18" s="12">
        <v>100000</v>
      </c>
      <c r="C18" s="4"/>
      <c r="D18" s="9" t="s">
        <v>18</v>
      </c>
      <c r="E18" s="7">
        <f>E17*B5</f>
        <v>898800</v>
      </c>
      <c r="F18" s="4"/>
    </row>
    <row r="19" spans="1:6" x14ac:dyDescent="0.25">
      <c r="A19" s="4"/>
      <c r="B19" s="8"/>
      <c r="C19" s="4"/>
      <c r="D19" s="4"/>
      <c r="E19" s="4"/>
      <c r="F19" s="4"/>
    </row>
    <row r="20" spans="1:6" ht="15.75" thickBot="1" x14ac:dyDescent="0.3">
      <c r="A20" s="2" t="s">
        <v>19</v>
      </c>
      <c r="B20" s="3">
        <f>B17+B18</f>
        <v>898800.00000000023</v>
      </c>
      <c r="C20" s="4"/>
      <c r="D20" s="2" t="s">
        <v>20</v>
      </c>
      <c r="E20" s="3">
        <f>E18-B20</f>
        <v>0</v>
      </c>
      <c r="F20" s="4"/>
    </row>
    <row r="21" spans="1:6" ht="15.75" thickTop="1" x14ac:dyDescent="0.25">
      <c r="C21" s="4"/>
      <c r="D21" s="4"/>
      <c r="E21" s="4"/>
      <c r="F21" s="4"/>
    </row>
    <row r="22" spans="1:6" x14ac:dyDescent="0.25">
      <c r="C22" s="4"/>
      <c r="D22" s="4"/>
      <c r="E22" s="4"/>
      <c r="F22" s="4"/>
    </row>
    <row r="23" spans="1:6" x14ac:dyDescent="0.25">
      <c r="C23" s="4"/>
      <c r="D23" s="4"/>
      <c r="E23" s="4"/>
      <c r="F23" s="4"/>
    </row>
    <row r="24" spans="1:6" x14ac:dyDescent="0.25">
      <c r="C24" s="4"/>
      <c r="D24" s="4"/>
      <c r="E24" s="4"/>
      <c r="F24" s="4"/>
    </row>
    <row r="25" spans="1:6" x14ac:dyDescent="0.25">
      <c r="C25" s="4"/>
      <c r="D25" s="4"/>
      <c r="E25" s="4"/>
      <c r="F25" s="4"/>
    </row>
    <row r="26" spans="1:6" x14ac:dyDescent="0.25">
      <c r="A26" s="4"/>
      <c r="B26" s="4"/>
      <c r="C26" s="4"/>
      <c r="D26" s="4"/>
      <c r="E26" s="4"/>
      <c r="F2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 &amp; Estimates</vt:lpstr>
      <vt:lpstr>Project Costing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2017-08-25T02:34:34Z</dcterms:created>
  <dcterms:modified xsi:type="dcterms:W3CDTF">2026-10-30T18:10:05Z</dcterms:modified>
</cp:coreProperties>
</file>