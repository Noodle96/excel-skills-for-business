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"/>
    </mc:Choice>
  </mc:AlternateContent>
  <xr:revisionPtr revIDLastSave="0" documentId="13_ncr:1_{14810142-47AA-4A36-8762-C03D31951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ions &amp; Estimates" sheetId="3" r:id="rId1"/>
    <sheet name="Project Costing Model" sheetId="1" r:id="rId2"/>
  </sheets>
  <definedNames>
    <definedName name="Reviewers">'Projections &amp; Estimates'!#REF!</definedName>
    <definedName name="solver_adj" localSheetId="1" hidden="1">'Project Costing Model'!$B$7,'Project Costing Model'!$B$8,'Project Costing Model'!$B$9,'Project Costing Model'!$B$5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'Project Costing Model'!$B$7</definedName>
    <definedName name="solver_lhs2" localSheetId="1" hidden="1">'Project Costing Model'!$B$8</definedName>
    <definedName name="solver_lhs3" localSheetId="1" hidden="1">'Project Costing Model'!$B$8</definedName>
    <definedName name="solver_lhs4" localSheetId="1" hidden="1">'Project Costing Model'!$B$9</definedName>
    <definedName name="solver_lhs5" localSheetId="1" hidden="1">'Project Costing Model'!$B$9</definedName>
    <definedName name="solver_lhs6" localSheetId="1" hidden="1">'Project Costing Model'!$E$7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'Project Costing Model'!$E$20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1</definedName>
    <definedName name="solver_rhs1" localSheetId="1" hidden="1">12</definedName>
    <definedName name="solver_rhs2" localSheetId="1" hidden="1">8</definedName>
    <definedName name="solver_rhs3" localSheetId="1" hidden="1">5</definedName>
    <definedName name="solver_rhs4" localSheetId="1" hidden="1">6</definedName>
    <definedName name="solver_rhs5" localSheetId="1" hidden="1">5</definedName>
    <definedName name="solver_rhs6" localSheetId="1" hidden="1">24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24</definedName>
    <definedName name="solver_ver" localSheetId="1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3" l="1"/>
  <c r="A29" i="3"/>
  <c r="J42" i="3"/>
  <c r="K42" i="3"/>
  <c r="G43" i="3"/>
  <c r="H43" i="3"/>
  <c r="H44" i="3"/>
  <c r="I44" i="3"/>
  <c r="L44" i="3"/>
  <c r="F45" i="3"/>
  <c r="F46" i="3"/>
  <c r="G46" i="3"/>
  <c r="J46" i="3"/>
  <c r="K46" i="3"/>
  <c r="K47" i="3"/>
  <c r="L47" i="3"/>
  <c r="F48" i="3"/>
  <c r="H48" i="3"/>
  <c r="I48" i="3"/>
  <c r="J48" i="3"/>
  <c r="I49" i="3"/>
  <c r="J49" i="3"/>
  <c r="K49" i="3"/>
  <c r="G41" i="3"/>
  <c r="H41" i="3"/>
  <c r="I41" i="3"/>
  <c r="K31" i="3"/>
  <c r="F42" i="3" s="1"/>
  <c r="L31" i="3"/>
  <c r="G42" i="3" s="1"/>
  <c r="M31" i="3"/>
  <c r="H42" i="3" s="1"/>
  <c r="N31" i="3"/>
  <c r="I42" i="3" s="1"/>
  <c r="O31" i="3"/>
  <c r="P31" i="3"/>
  <c r="Q31" i="3"/>
  <c r="L42" i="3" s="1"/>
  <c r="K32" i="3"/>
  <c r="F43" i="3" s="1"/>
  <c r="L32" i="3"/>
  <c r="M32" i="3"/>
  <c r="N32" i="3"/>
  <c r="I43" i="3" s="1"/>
  <c r="O32" i="3"/>
  <c r="J43" i="3" s="1"/>
  <c r="P32" i="3"/>
  <c r="K43" i="3" s="1"/>
  <c r="Q32" i="3"/>
  <c r="L43" i="3" s="1"/>
  <c r="K33" i="3"/>
  <c r="F44" i="3" s="1"/>
  <c r="L33" i="3"/>
  <c r="G44" i="3" s="1"/>
  <c r="M33" i="3"/>
  <c r="N33" i="3"/>
  <c r="O33" i="3"/>
  <c r="J44" i="3" s="1"/>
  <c r="P33" i="3"/>
  <c r="K44" i="3" s="1"/>
  <c r="Q33" i="3"/>
  <c r="K34" i="3"/>
  <c r="L34" i="3"/>
  <c r="G45" i="3" s="1"/>
  <c r="M34" i="3"/>
  <c r="H45" i="3" s="1"/>
  <c r="N34" i="3"/>
  <c r="I45" i="3" s="1"/>
  <c r="O34" i="3"/>
  <c r="J45" i="3" s="1"/>
  <c r="P34" i="3"/>
  <c r="K45" i="3" s="1"/>
  <c r="Q34" i="3"/>
  <c r="L45" i="3" s="1"/>
  <c r="K35" i="3"/>
  <c r="L35" i="3"/>
  <c r="M35" i="3"/>
  <c r="H46" i="3" s="1"/>
  <c r="N35" i="3"/>
  <c r="I46" i="3" s="1"/>
  <c r="O35" i="3"/>
  <c r="P35" i="3"/>
  <c r="Q35" i="3"/>
  <c r="L46" i="3" s="1"/>
  <c r="K36" i="3"/>
  <c r="F47" i="3" s="1"/>
  <c r="L36" i="3"/>
  <c r="G47" i="3" s="1"/>
  <c r="M36" i="3"/>
  <c r="H47" i="3" s="1"/>
  <c r="N36" i="3"/>
  <c r="I47" i="3" s="1"/>
  <c r="O36" i="3"/>
  <c r="J47" i="3" s="1"/>
  <c r="P36" i="3"/>
  <c r="Q36" i="3"/>
  <c r="K37" i="3"/>
  <c r="L37" i="3"/>
  <c r="G48" i="3" s="1"/>
  <c r="M37" i="3"/>
  <c r="N37" i="3"/>
  <c r="O37" i="3"/>
  <c r="P37" i="3"/>
  <c r="K48" i="3" s="1"/>
  <c r="Q37" i="3"/>
  <c r="L48" i="3" s="1"/>
  <c r="K38" i="3"/>
  <c r="F49" i="3" s="1"/>
  <c r="L38" i="3"/>
  <c r="G49" i="3" s="1"/>
  <c r="M38" i="3"/>
  <c r="H49" i="3" s="1"/>
  <c r="N38" i="3"/>
  <c r="O38" i="3"/>
  <c r="P38" i="3"/>
  <c r="Q38" i="3"/>
  <c r="L49" i="3" s="1"/>
  <c r="L30" i="3"/>
  <c r="M30" i="3"/>
  <c r="N30" i="3"/>
  <c r="O30" i="3"/>
  <c r="J41" i="3" s="1"/>
  <c r="P30" i="3"/>
  <c r="K41" i="3" s="1"/>
  <c r="Q30" i="3"/>
  <c r="L41" i="3" s="1"/>
  <c r="K30" i="3"/>
  <c r="F41" i="3" s="1"/>
  <c r="I19" i="3"/>
  <c r="I20" i="3"/>
  <c r="I21" i="3"/>
  <c r="I22" i="3"/>
  <c r="I23" i="3"/>
  <c r="I24" i="3"/>
  <c r="I25" i="3"/>
  <c r="I26" i="3"/>
  <c r="I18" i="3"/>
  <c r="K19" i="3"/>
  <c r="K20" i="3"/>
  <c r="K21" i="3"/>
  <c r="K22" i="3"/>
  <c r="K23" i="3"/>
  <c r="K24" i="3"/>
  <c r="K25" i="3"/>
  <c r="K26" i="3"/>
  <c r="K18" i="3"/>
  <c r="L29" i="3"/>
  <c r="M29" i="3" s="1"/>
  <c r="N29" i="3" s="1"/>
  <c r="O29" i="3" s="1"/>
  <c r="P29" i="3" s="1"/>
  <c r="Q29" i="3" s="1"/>
  <c r="E7" i="3"/>
  <c r="E8" i="3"/>
  <c r="E9" i="3"/>
  <c r="E10" i="3"/>
  <c r="E11" i="3"/>
  <c r="E6" i="3"/>
  <c r="G6" i="3" l="1"/>
  <c r="E17" i="1"/>
  <c r="E12" i="3"/>
  <c r="C29" i="3"/>
  <c r="D29" i="3" s="1"/>
  <c r="E29" i="3" s="1"/>
  <c r="F29" i="3" s="1"/>
  <c r="G29" i="3" s="1"/>
  <c r="H29" i="3" s="1"/>
  <c r="E18" i="1" l="1"/>
  <c r="E10" i="1"/>
  <c r="E12" i="1" s="1"/>
  <c r="E6" i="1"/>
  <c r="E5" i="1"/>
  <c r="E11" i="1" l="1"/>
  <c r="B15" i="1" s="1"/>
  <c r="B16" i="1" s="1"/>
  <c r="E7" i="1"/>
  <c r="B17" i="1" l="1"/>
  <c r="B20" i="1" s="1"/>
  <c r="E20" i="1" s="1"/>
</calcChain>
</file>

<file path=xl/sharedStrings.xml><?xml version="1.0" encoding="utf-8"?>
<sst xmlns="http://schemas.openxmlformats.org/spreadsheetml/2006/main" count="65" uniqueCount="55">
  <si>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</si>
  <si>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</si>
  <si>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</si>
  <si>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</si>
  <si>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</si>
  <si>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</si>
  <si>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</si>
  <si>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</si>
  <si>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</si>
  <si>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</si>
  <si>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</si>
  <si>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</si>
  <si>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</si>
  <si>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</si>
  <si>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</si>
  <si>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</si>
  <si>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</si>
  <si>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</si>
  <si>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</si>
  <si>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</si>
  <si>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</si>
  <si>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</si>
  <si>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</si>
  <si>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</si>
  <si>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</si>
  <si>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</si>
  <si>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</si>
  <si>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</si>
  <si>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</si>
  <si>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</si>
  <si>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</si>
  <si>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</si>
  <si>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</si>
  <si>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</si>
  <si>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</si>
  <si>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</si>
  <si>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</si>
  <si>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</si>
  <si>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</si>
  <si>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</si>
  <si>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</si>
  <si>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</si>
  <si>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</si>
  <si>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</si>
  <si>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</si>
  <si>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</si>
  <si>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</si>
  <si>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</si>
  <si>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</si>
  <si>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</si>
  <si>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</si>
  <si>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</si>
  <si>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</si>
  <si>
    <t>f-DT</t>
  </si>
  <si>
    <t>f-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</si>
</sst>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.0%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164" fontId="3" fillId="5" borderId="2" xfId="2" applyNumberFormat="1" applyFont="1" applyFill="1"/>
    <xf numFmtId="165" fontId="3" fillId="5" borderId="2" xfId="2" applyNumberFormat="1" applyFon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5" fontId="8" fillId="0" borderId="0" xfId="6" applyNumberFormat="1" applyFont="1"/>
    <xf numFmtId="0" fontId="10" fillId="0" borderId="0" xfId="6" applyFont="1"/>
    <xf numFmtId="0" fontId="8" fillId="0" borderId="0" xfId="6" applyFont="1" applyFill="1"/>
    <xf numFmtId="0" fontId="6" fillId="2" borderId="1" xfId="1" applyFont="1"/>
    <xf numFmtId="1" fontId="6" fillId="2" borderId="1" xfId="1" applyNumberFormat="1" applyFont="1"/>
    <xf numFmtId="165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5" fontId="0" fillId="0" borderId="0" xfId="0" applyNumberFormat="1"/>
    <xf numFmtId="0" fontId="0" fillId="0" borderId="0" xfId="0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0" fillId="0" borderId="0" xfId="11" applyNumberFormat="1" applyFont="1"/>
    <xf numFmtId="165" fontId="25" fillId="0" borderId="0" xfId="0" applyNumberFormat="1" applyFont="1"/>
    <xf numFmtId="167" fontId="25" fillId="0" borderId="0" xfId="10" applyNumberFormat="1" applyFont="1"/>
    <xf numFmtId="1" fontId="3" fillId="0" borderId="2" xfId="2" applyNumberFormat="1"/>
    <xf numFmtId="0" fontId="2" fillId="2" borderId="1" xfId="1"/>
    <xf numFmtId="166" fontId="1" fillId="35" borderId="0" xfId="34" applyNumberFormat="1" applyFill="1"/>
    <xf numFmtId="0" fontId="1" fillId="35" borderId="0" xfId="34" applyFill="1" applyAlignment="1">
      <alignment horizontal="left"/>
    </xf>
    <xf numFmtId="0" fontId="4" fillId="36" borderId="0" xfId="33" applyFill="1"/>
    <xf numFmtId="0" fontId="4" fillId="36" borderId="0" xfId="33" applyFill="1" applyAlignment="1">
      <alignment horizontal="right"/>
    </xf>
    <xf numFmtId="0" fontId="1" fillId="37" borderId="0" xfId="34" applyFill="1" applyAlignment="1">
      <alignment horizontal="left"/>
    </xf>
    <xf numFmtId="0" fontId="0" fillId="37" borderId="0" xfId="34" applyFont="1" applyFill="1" applyAlignment="1">
      <alignment horizontal="left"/>
    </xf>
    <xf numFmtId="165" fontId="2" fillId="37" borderId="1" xfId="1" applyNumberFormat="1" applyFill="1" applyAlignment="1"/>
    <xf numFmtId="9" fontId="1" fillId="37" borderId="0" xfId="34" applyNumberFormat="1" applyFill="1"/>
    <xf numFmtId="165" fontId="1" fillId="37" borderId="0" xfId="34" applyNumberFormat="1" applyFill="1"/>
    <xf numFmtId="0" fontId="4" fillId="38" borderId="0" xfId="33" applyFill="1" applyAlignment="1">
      <alignment horizontal="right"/>
    </xf>
    <xf numFmtId="165" fontId="2" fillId="38" borderId="1" xfId="1" applyNumberFormat="1" applyFill="1"/>
    <xf numFmtId="0" fontId="4" fillId="38" borderId="0" xfId="33" applyFill="1"/>
    <xf numFmtId="4" fontId="0" fillId="0" borderId="0" xfId="0" applyNumberFormat="1"/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1019175</xdr:colOff>
      <xdr:row>0</xdr:row>
      <xdr:rowOff>104775</xdr:rowOff>
    </xdr:from>
    <xdr:to>
      <xdr:col>5</xdr:col>
      <xdr:colOff>752475</xdr:colOff>
      <xdr:row>0</xdr:row>
      <xdr:rowOff>476250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C51B310-0E34-41E2-BB0F-581FDB3C9963}"/>
            </a:ext>
          </a:extLst>
        </xdr:cNvPr>
        <xdr:cNvSpPr/>
      </xdr:nvSpPr>
      <xdr:spPr>
        <a:xfrm>
          <a:off x="4972050" y="104775"/>
          <a:ext cx="2266950" cy="3714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 baseline="0"/>
            <a:t>                       </a:t>
          </a:r>
          <a:r>
            <a:rPr lang="es-419" sz="1100"/>
            <a:t>DATA</a:t>
          </a:r>
          <a:r>
            <a:rPr lang="es-419" sz="1100" baseline="0"/>
            <a:t> TABLES</a:t>
          </a:r>
          <a:endParaRPr lang="es-419" sz="1100"/>
        </a:p>
      </xdr:txBody>
    </xdr:sp>
    <xdr:clientData/>
  </xdr:twoCellAnchor>
  <xdr:twoCellAnchor>
    <xdr:from>
      <xdr:col>1</xdr:col>
      <xdr:colOff>495301</xdr:colOff>
      <xdr:row>12</xdr:row>
      <xdr:rowOff>180975</xdr:rowOff>
    </xdr:from>
    <xdr:to>
      <xdr:col>3</xdr:col>
      <xdr:colOff>542926</xdr:colOff>
      <xdr:row>15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1537886-8F17-4D7C-83EE-050111BC2155}"/>
            </a:ext>
          </a:extLst>
        </xdr:cNvPr>
        <xdr:cNvSpPr/>
      </xdr:nvSpPr>
      <xdr:spPr>
        <a:xfrm>
          <a:off x="1990726" y="2657475"/>
          <a:ext cx="1428750" cy="4191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CON DATA  MODEL</a:t>
          </a:r>
        </a:p>
      </xdr:txBody>
    </xdr:sp>
    <xdr:clientData/>
  </xdr:twoCellAnchor>
  <xdr:twoCellAnchor>
    <xdr:from>
      <xdr:col>10</xdr:col>
      <xdr:colOff>561976</xdr:colOff>
      <xdr:row>12</xdr:row>
      <xdr:rowOff>152400</xdr:rowOff>
    </xdr:from>
    <xdr:to>
      <xdr:col>12</xdr:col>
      <xdr:colOff>847726</xdr:colOff>
      <xdr:row>14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8199DA-C612-44D2-9A6D-7B2BCD703665}"/>
            </a:ext>
          </a:extLst>
        </xdr:cNvPr>
        <xdr:cNvSpPr/>
      </xdr:nvSpPr>
      <xdr:spPr>
        <a:xfrm>
          <a:off x="10106026" y="2628900"/>
          <a:ext cx="1428750" cy="4191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CON FORMULA</a:t>
          </a:r>
        </a:p>
      </xdr:txBody>
    </xdr:sp>
    <xdr:clientData/>
  </xdr:twoCellAnchor>
  <xdr:twoCellAnchor>
    <xdr:from>
      <xdr:col>0</xdr:col>
      <xdr:colOff>1162050</xdr:colOff>
      <xdr:row>39</xdr:row>
      <xdr:rowOff>123825</xdr:rowOff>
    </xdr:from>
    <xdr:to>
      <xdr:col>3</xdr:col>
      <xdr:colOff>314325</xdr:colOff>
      <xdr:row>45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A99488B-B037-4E75-AD63-F1747ED2A949}"/>
            </a:ext>
          </a:extLst>
        </xdr:cNvPr>
        <xdr:cNvSpPr/>
      </xdr:nvSpPr>
      <xdr:spPr>
        <a:xfrm>
          <a:off x="1162050" y="7753350"/>
          <a:ext cx="2505075" cy="10572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BASICAMENTE</a:t>
          </a:r>
          <a:r>
            <a:rPr lang="es-419" sz="1100" baseline="0"/>
            <a:t> CADA M_i_j es la multiplicacion de previous_Sales_Units * Header_i * left_i</a:t>
          </a:r>
          <a:br>
            <a:rPr lang="es-419" sz="1100" baseline="0"/>
          </a:br>
          <a:r>
            <a:rPr lang="es-419" sz="1100" baseline="0"/>
            <a:t>(mirar matriz "CON FORMULA")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showGridLines="0" tabSelected="1" topLeftCell="A13" workbookViewId="0">
      <selection activeCell="B42" sqref="B42"/>
    </sheetView>
  </sheetViews>
  <sheetFormatPr defaultRowHeight="15" x14ac:dyDescent="0.25"/>
  <cols>
    <col min="1" max="1" width="22.42578125" customWidth="1"/>
    <col min="2" max="2" width="16.5703125" customWidth="1"/>
    <col min="3" max="3" width="11.28515625" customWidth="1"/>
    <col min="4" max="4" width="24.140625" customWidth="1"/>
    <col min="5" max="5" width="11.28515625" customWidth="1"/>
    <col min="6" max="6" width="11.140625" customWidth="1"/>
    <col min="7" max="7" width="11.42578125" customWidth="1"/>
    <col min="8" max="8" width="10.85546875" customWidth="1"/>
    <col min="9" max="9" width="6.28515625" customWidth="1"/>
    <col min="10" max="10" width="23" customWidth="1"/>
    <col min="11" max="11" width="17.5703125" customWidth="1"/>
    <col min="12" max="12" width="14.140625" customWidth="1"/>
    <col min="13" max="13" width="23.7109375" customWidth="1"/>
    <col min="14" max="14" width="12.42578125" customWidth="1"/>
    <col min="15" max="16" width="12.140625" customWidth="1"/>
    <col min="17" max="17" width="11.140625" customWidth="1"/>
  </cols>
  <sheetData>
    <row r="1" spans="1:8" s="32" customFormat="1" ht="40.700000000000003" customHeight="1" x14ac:dyDescent="0.25">
      <c r="A1" s="13" t="s">
        <v>41</v>
      </c>
      <c r="B1" s="23"/>
      <c r="C1" s="23"/>
      <c r="D1" s="23"/>
      <c r="E1" s="14"/>
      <c r="F1" s="14"/>
      <c r="G1" s="14"/>
      <c r="H1" s="14"/>
    </row>
    <row r="2" spans="1:8" s="32" customFormat="1" ht="3.95" customHeight="1" x14ac:dyDescent="0.25">
      <c r="A2" s="19"/>
      <c r="B2" s="24"/>
      <c r="C2" s="24"/>
      <c r="D2" s="24"/>
      <c r="E2" s="20"/>
      <c r="F2" s="20"/>
      <c r="G2" s="20"/>
      <c r="H2" s="20"/>
    </row>
    <row r="4" spans="1:8" x14ac:dyDescent="0.25">
      <c r="B4" s="26">
        <v>1</v>
      </c>
      <c r="C4" s="26">
        <v>4</v>
      </c>
      <c r="D4" s="26">
        <v>1</v>
      </c>
      <c r="E4" s="33" t="s">
        <v>51</v>
      </c>
    </row>
    <row r="5" spans="1:8" s="32" customFormat="1" x14ac:dyDescent="0.25">
      <c r="A5" s="28" t="s">
        <v>34</v>
      </c>
      <c r="B5" s="29" t="s">
        <v>32</v>
      </c>
      <c r="C5" s="29" t="s">
        <v>42</v>
      </c>
      <c r="D5" s="29" t="s">
        <v>33</v>
      </c>
      <c r="E5" s="34" t="s">
        <v>50</v>
      </c>
      <c r="G5" s="29" t="s">
        <v>52</v>
      </c>
    </row>
    <row r="6" spans="1:8" x14ac:dyDescent="0.25">
      <c r="A6" s="32" t="s">
        <v>25</v>
      </c>
      <c r="B6" s="25">
        <v>64</v>
      </c>
      <c r="C6" s="25">
        <v>36.000000000000036</v>
      </c>
      <c r="D6" s="25">
        <v>32</v>
      </c>
      <c r="E6" s="32">
        <f>SUMPRODUCT(B6:D6,$B$4:$D$4)/6</f>
        <v>40.000000000000021</v>
      </c>
      <c r="G6" s="39">
        <f>SUMPRODUCT(1*(E6:E11&gt;=100))</f>
        <v>3</v>
      </c>
    </row>
    <row r="7" spans="1:8" x14ac:dyDescent="0.25">
      <c r="A7" s="32" t="s">
        <v>26</v>
      </c>
      <c r="B7" s="25">
        <v>160</v>
      </c>
      <c r="C7" s="25">
        <v>115</v>
      </c>
      <c r="D7" s="25">
        <v>100</v>
      </c>
      <c r="E7" s="32">
        <f t="shared" ref="E7:E11" si="0">SUMPRODUCT(B7:D7,$B$4:$D$4)/6</f>
        <v>120</v>
      </c>
      <c r="F7" s="32"/>
    </row>
    <row r="8" spans="1:8" x14ac:dyDescent="0.25">
      <c r="A8" s="32" t="s">
        <v>30</v>
      </c>
      <c r="B8" s="25">
        <v>760</v>
      </c>
      <c r="C8" s="25">
        <v>575</v>
      </c>
      <c r="D8" s="25">
        <v>479.99999999999989</v>
      </c>
      <c r="E8" s="32">
        <f t="shared" si="0"/>
        <v>590</v>
      </c>
      <c r="F8" s="32"/>
    </row>
    <row r="9" spans="1:8" x14ac:dyDescent="0.25">
      <c r="A9" s="32" t="s">
        <v>27</v>
      </c>
      <c r="B9" s="25">
        <v>100</v>
      </c>
      <c r="C9" s="25">
        <v>70</v>
      </c>
      <c r="D9" s="25">
        <v>40</v>
      </c>
      <c r="E9" s="32">
        <f t="shared" si="0"/>
        <v>70</v>
      </c>
      <c r="F9" s="32"/>
    </row>
    <row r="10" spans="1:8" x14ac:dyDescent="0.25">
      <c r="A10" s="32" t="s">
        <v>28</v>
      </c>
      <c r="B10" s="25">
        <v>110</v>
      </c>
      <c r="C10" s="25">
        <v>80</v>
      </c>
      <c r="D10" s="25">
        <v>50</v>
      </c>
      <c r="E10" s="32">
        <f t="shared" si="0"/>
        <v>80</v>
      </c>
      <c r="F10" s="32"/>
    </row>
    <row r="11" spans="1:8" x14ac:dyDescent="0.25">
      <c r="A11" s="32" t="s">
        <v>29</v>
      </c>
      <c r="B11" s="25">
        <v>130</v>
      </c>
      <c r="C11" s="25">
        <v>110</v>
      </c>
      <c r="D11" s="25">
        <v>29.999999999999915</v>
      </c>
      <c r="E11" s="32">
        <f t="shared" si="0"/>
        <v>99.999999999999986</v>
      </c>
      <c r="F11" s="32"/>
    </row>
    <row r="12" spans="1:8" ht="15.75" thickBot="1" x14ac:dyDescent="0.3">
      <c r="A12" s="22" t="s">
        <v>31</v>
      </c>
      <c r="B12" s="27"/>
      <c r="C12" s="27"/>
      <c r="D12" s="27"/>
      <c r="E12" s="38">
        <f>SUM(E6:E11)</f>
        <v>1000</v>
      </c>
      <c r="F12" s="31"/>
    </row>
    <row r="13" spans="1:8" ht="15.75" thickTop="1" x14ac:dyDescent="0.25">
      <c r="A13" s="32"/>
      <c r="B13" s="25"/>
      <c r="C13" s="25"/>
      <c r="D13" s="25"/>
      <c r="E13" s="32"/>
      <c r="F13" s="31"/>
    </row>
    <row r="14" spans="1:8" s="32" customFormat="1" x14ac:dyDescent="0.25">
      <c r="B14" s="25"/>
      <c r="C14" s="25"/>
      <c r="D14" s="25"/>
      <c r="F14" s="31"/>
    </row>
    <row r="15" spans="1:8" s="32" customFormat="1" x14ac:dyDescent="0.25">
      <c r="B15" s="25"/>
      <c r="C15" s="25"/>
      <c r="D15" s="25"/>
      <c r="F15" s="31"/>
    </row>
    <row r="16" spans="1:8" x14ac:dyDescent="0.25">
      <c r="C16" s="31"/>
      <c r="D16" s="31"/>
      <c r="E16" s="31"/>
      <c r="F16" s="31"/>
    </row>
    <row r="17" spans="1:17" x14ac:dyDescent="0.25">
      <c r="A17" s="49" t="s">
        <v>39</v>
      </c>
      <c r="B17">
        <f>E18*(1+E19)</f>
        <v>100280.00000000001</v>
      </c>
      <c r="C17" s="31"/>
      <c r="D17" s="51" t="s">
        <v>45</v>
      </c>
      <c r="E17" s="51"/>
      <c r="F17" s="31"/>
      <c r="I17" s="25" t="s">
        <v>53</v>
      </c>
      <c r="J17" s="49" t="s">
        <v>39</v>
      </c>
      <c r="K17" s="50"/>
      <c r="L17" s="31"/>
      <c r="M17" s="51" t="s">
        <v>45</v>
      </c>
      <c r="N17" s="51"/>
      <c r="O17" s="31"/>
      <c r="P17" s="32"/>
      <c r="Q17" s="32"/>
    </row>
    <row r="18" spans="1:17" x14ac:dyDescent="0.25">
      <c r="A18" s="40">
        <v>0.05</v>
      </c>
      <c r="B18" s="31">
        <f t="dataTable" ref="B18:B26" dt2D="0" dtr="0" r1="E19"/>
        <v>96600</v>
      </c>
      <c r="C18" s="31"/>
      <c r="D18" s="41" t="s">
        <v>40</v>
      </c>
      <c r="E18" s="31">
        <v>92000</v>
      </c>
      <c r="F18" s="31"/>
      <c r="I18" s="52">
        <f>K18-B18</f>
        <v>0</v>
      </c>
      <c r="J18" s="40">
        <v>0.05</v>
      </c>
      <c r="K18" s="31">
        <f>$N$18*(1+J18)</f>
        <v>96600</v>
      </c>
      <c r="L18" s="31"/>
      <c r="M18" s="41" t="s">
        <v>40</v>
      </c>
      <c r="N18" s="31">
        <v>92000</v>
      </c>
      <c r="O18" s="31"/>
      <c r="P18" s="32"/>
      <c r="Q18" s="32"/>
    </row>
    <row r="19" spans="1:17" x14ac:dyDescent="0.25">
      <c r="A19" s="40">
        <v>6.5000000000000002E-2</v>
      </c>
      <c r="B19" s="31">
        <v>97980</v>
      </c>
      <c r="C19" s="31"/>
      <c r="D19" s="41" t="s">
        <v>44</v>
      </c>
      <c r="E19" s="30">
        <v>0.09</v>
      </c>
      <c r="F19" s="31"/>
      <c r="I19" s="52">
        <f t="shared" ref="I19:I26" si="1">K19-B19</f>
        <v>0</v>
      </c>
      <c r="J19" s="40">
        <v>6.5000000000000002E-2</v>
      </c>
      <c r="K19" s="31">
        <f t="shared" ref="K19:K26" si="2">$N$18*(1+J19)</f>
        <v>97980</v>
      </c>
      <c r="L19" s="31"/>
      <c r="M19" s="41" t="s">
        <v>44</v>
      </c>
      <c r="N19" s="30">
        <v>0.09</v>
      </c>
      <c r="O19" s="31"/>
      <c r="P19" s="32"/>
      <c r="Q19" s="32"/>
    </row>
    <row r="20" spans="1:17" x14ac:dyDescent="0.25">
      <c r="A20" s="40">
        <v>0.08</v>
      </c>
      <c r="B20" s="31">
        <v>99360</v>
      </c>
      <c r="C20" s="31"/>
      <c r="F20" s="31"/>
      <c r="I20" s="52">
        <f t="shared" si="1"/>
        <v>0</v>
      </c>
      <c r="J20" s="40">
        <v>0.08</v>
      </c>
      <c r="K20" s="31">
        <f t="shared" si="2"/>
        <v>99360</v>
      </c>
      <c r="L20" s="31"/>
      <c r="M20" s="32"/>
      <c r="N20" s="32"/>
      <c r="O20" s="31"/>
      <c r="P20" s="32"/>
      <c r="Q20" s="32"/>
    </row>
    <row r="21" spans="1:17" s="32" customFormat="1" x14ac:dyDescent="0.25">
      <c r="A21" s="40">
        <v>0.09</v>
      </c>
      <c r="B21" s="31">
        <v>100280.00000000001</v>
      </c>
      <c r="C21" s="31"/>
      <c r="F21" s="31"/>
      <c r="I21" s="52">
        <f t="shared" si="1"/>
        <v>0</v>
      </c>
      <c r="J21" s="40">
        <v>0.09</v>
      </c>
      <c r="K21" s="31">
        <f t="shared" si="2"/>
        <v>100280.00000000001</v>
      </c>
      <c r="L21" s="31"/>
      <c r="O21" s="31"/>
    </row>
    <row r="22" spans="1:17" x14ac:dyDescent="0.25">
      <c r="A22" s="40">
        <v>9.5000000000000001E-2</v>
      </c>
      <c r="B22" s="31">
        <v>100740</v>
      </c>
      <c r="C22" s="31"/>
      <c r="F22" s="31"/>
      <c r="I22" s="52">
        <f t="shared" si="1"/>
        <v>0</v>
      </c>
      <c r="J22" s="40">
        <v>9.5000000000000001E-2</v>
      </c>
      <c r="K22" s="31">
        <f t="shared" si="2"/>
        <v>100740</v>
      </c>
      <c r="L22" s="31"/>
      <c r="M22" s="32"/>
      <c r="N22" s="32"/>
      <c r="O22" s="31"/>
      <c r="P22" s="32"/>
      <c r="Q22" s="32"/>
    </row>
    <row r="23" spans="1:17" s="32" customFormat="1" x14ac:dyDescent="0.25">
      <c r="A23" s="40">
        <v>0.11</v>
      </c>
      <c r="B23" s="31">
        <v>102120.00000000001</v>
      </c>
      <c r="C23" s="31"/>
      <c r="D23" s="42" t="s">
        <v>46</v>
      </c>
      <c r="E23" s="42"/>
      <c r="F23" s="31"/>
      <c r="G23"/>
      <c r="H23" s="31"/>
      <c r="I23" s="52">
        <f t="shared" si="1"/>
        <v>0</v>
      </c>
      <c r="J23" s="40">
        <v>0.11</v>
      </c>
      <c r="K23" s="31">
        <f t="shared" si="2"/>
        <v>102120.00000000001</v>
      </c>
      <c r="L23" s="31"/>
      <c r="M23" s="42" t="s">
        <v>46</v>
      </c>
      <c r="N23" s="42"/>
      <c r="O23" s="31"/>
      <c r="Q23" s="31"/>
    </row>
    <row r="24" spans="1:17" s="32" customFormat="1" x14ac:dyDescent="0.25">
      <c r="A24" s="40">
        <v>0.125</v>
      </c>
      <c r="B24" s="31">
        <v>103500</v>
      </c>
      <c r="C24" s="31"/>
      <c r="D24" s="44" t="s">
        <v>38</v>
      </c>
      <c r="E24" s="31">
        <v>35</v>
      </c>
      <c r="F24" s="31"/>
      <c r="G24"/>
      <c r="H24" s="31"/>
      <c r="I24" s="52">
        <f t="shared" si="1"/>
        <v>0</v>
      </c>
      <c r="J24" s="40">
        <v>0.125</v>
      </c>
      <c r="K24" s="31">
        <f t="shared" si="2"/>
        <v>103500</v>
      </c>
      <c r="L24" s="31"/>
      <c r="M24" s="44" t="s">
        <v>38</v>
      </c>
      <c r="N24" s="31">
        <v>35</v>
      </c>
      <c r="O24" s="31"/>
      <c r="Q24" s="31"/>
    </row>
    <row r="25" spans="1:17" s="32" customFormat="1" x14ac:dyDescent="0.25">
      <c r="A25" s="40">
        <v>0.14000000000000001</v>
      </c>
      <c r="B25" s="31">
        <v>104880.00000000001</v>
      </c>
      <c r="C25" s="31"/>
      <c r="D25" s="44" t="s">
        <v>43</v>
      </c>
      <c r="E25" s="35">
        <v>4700</v>
      </c>
      <c r="F25" s="31"/>
      <c r="G25"/>
      <c r="H25" s="31"/>
      <c r="I25" s="52">
        <f t="shared" si="1"/>
        <v>0</v>
      </c>
      <c r="J25" s="40">
        <v>0.14000000000000001</v>
      </c>
      <c r="K25" s="31">
        <f t="shared" si="2"/>
        <v>104880.00000000001</v>
      </c>
      <c r="L25" s="31"/>
      <c r="M25" s="44" t="s">
        <v>43</v>
      </c>
      <c r="N25" s="35">
        <v>4700</v>
      </c>
      <c r="O25" s="31"/>
      <c r="Q25" s="31"/>
    </row>
    <row r="26" spans="1:17" x14ac:dyDescent="0.25">
      <c r="A26" s="40">
        <v>0.155</v>
      </c>
      <c r="B26" s="31">
        <v>106260</v>
      </c>
      <c r="D26" s="45" t="s">
        <v>37</v>
      </c>
      <c r="E26" s="30">
        <v>7.0000000000000007E-2</v>
      </c>
      <c r="I26" s="52">
        <f t="shared" si="1"/>
        <v>0</v>
      </c>
      <c r="J26" s="40">
        <v>0.155</v>
      </c>
      <c r="K26" s="31">
        <f t="shared" si="2"/>
        <v>106260</v>
      </c>
      <c r="L26" s="32"/>
      <c r="M26" s="45" t="s">
        <v>37</v>
      </c>
      <c r="N26" s="30">
        <v>7.0000000000000007E-2</v>
      </c>
      <c r="O26" s="32"/>
      <c r="P26" s="32"/>
      <c r="Q26" s="32"/>
    </row>
    <row r="27" spans="1:17" x14ac:dyDescent="0.25">
      <c r="J27" s="32"/>
      <c r="K27" s="32"/>
      <c r="L27" s="32"/>
      <c r="M27" s="32"/>
      <c r="N27" s="32"/>
      <c r="O27" s="32"/>
      <c r="P27" s="32"/>
      <c r="Q27" s="32"/>
    </row>
    <row r="28" spans="1:17" x14ac:dyDescent="0.25">
      <c r="A28" s="43" t="s">
        <v>36</v>
      </c>
      <c r="B28" s="42"/>
      <c r="C28" s="42"/>
      <c r="D28" s="42"/>
      <c r="E28" s="42"/>
      <c r="F28" s="42"/>
      <c r="G28" s="42"/>
      <c r="H28" s="42"/>
      <c r="J28" s="43" t="s">
        <v>36</v>
      </c>
      <c r="K28" s="42"/>
      <c r="L28" s="42"/>
      <c r="M28" s="42"/>
      <c r="N28" s="42"/>
      <c r="O28" s="42"/>
      <c r="P28" s="42"/>
      <c r="Q28" s="42"/>
    </row>
    <row r="29" spans="1:17" x14ac:dyDescent="0.25">
      <c r="A29" s="46">
        <f>E24*E25*(1+E26)</f>
        <v>176015</v>
      </c>
      <c r="B29" s="48">
        <v>30</v>
      </c>
      <c r="C29" s="48">
        <f>B29+2.5</f>
        <v>32.5</v>
      </c>
      <c r="D29" s="48">
        <f t="shared" ref="D29:H29" si="3">C29+2.5</f>
        <v>35</v>
      </c>
      <c r="E29" s="48">
        <f t="shared" si="3"/>
        <v>37.5</v>
      </c>
      <c r="F29" s="48">
        <f t="shared" si="3"/>
        <v>40</v>
      </c>
      <c r="G29" s="48">
        <f t="shared" si="3"/>
        <v>42.5</v>
      </c>
      <c r="H29" s="48">
        <f t="shared" si="3"/>
        <v>45</v>
      </c>
      <c r="J29" s="46"/>
      <c r="K29" s="48">
        <v>30</v>
      </c>
      <c r="L29" s="48">
        <f>K29+2.5</f>
        <v>32.5</v>
      </c>
      <c r="M29" s="48">
        <f t="shared" ref="M29" si="4">L29+2.5</f>
        <v>35</v>
      </c>
      <c r="N29" s="48">
        <f t="shared" ref="N29" si="5">M29+2.5</f>
        <v>37.5</v>
      </c>
      <c r="O29" s="48">
        <f t="shared" ref="O29" si="6">N29+2.5</f>
        <v>40</v>
      </c>
      <c r="P29" s="48">
        <f t="shared" ref="P29" si="7">O29+2.5</f>
        <v>42.5</v>
      </c>
      <c r="Q29" s="48">
        <f t="shared" ref="Q29" si="8">P29+2.5</f>
        <v>45</v>
      </c>
    </row>
    <row r="30" spans="1:17" x14ac:dyDescent="0.25">
      <c r="A30" s="47">
        <v>0.03</v>
      </c>
      <c r="B30" s="31">
        <f t="dataTable" ref="B30:H38" dt2D="1" dtr="1" r1="E24" r2="E26"/>
        <v>145230</v>
      </c>
      <c r="C30" s="31">
        <v>157332.5</v>
      </c>
      <c r="D30" s="31">
        <v>169435</v>
      </c>
      <c r="E30" s="31">
        <v>181537.5</v>
      </c>
      <c r="F30" s="31">
        <v>193640</v>
      </c>
      <c r="G30" s="31">
        <v>205742.5</v>
      </c>
      <c r="H30" s="31">
        <v>217845</v>
      </c>
      <c r="J30" s="47">
        <v>0.03</v>
      </c>
      <c r="K30" s="31">
        <f>(1+$J30)*K$29*$N$25</f>
        <v>145230</v>
      </c>
      <c r="L30" s="31">
        <f t="shared" ref="L30:Q38" si="9">(1+$J30)*L$29*$N$25</f>
        <v>157332.5</v>
      </c>
      <c r="M30" s="31">
        <f t="shared" si="9"/>
        <v>169435.00000000003</v>
      </c>
      <c r="N30" s="31">
        <f t="shared" si="9"/>
        <v>181537.5</v>
      </c>
      <c r="O30" s="31">
        <f t="shared" si="9"/>
        <v>193640</v>
      </c>
      <c r="P30" s="31">
        <f t="shared" si="9"/>
        <v>205742.5</v>
      </c>
      <c r="Q30" s="31">
        <f t="shared" si="9"/>
        <v>217845</v>
      </c>
    </row>
    <row r="31" spans="1:17" x14ac:dyDescent="0.25">
      <c r="A31" s="47">
        <v>0.04</v>
      </c>
      <c r="B31" s="31">
        <v>146640</v>
      </c>
      <c r="C31" s="31">
        <v>158860</v>
      </c>
      <c r="D31" s="31">
        <v>171080</v>
      </c>
      <c r="E31" s="31">
        <v>183300</v>
      </c>
      <c r="F31" s="31">
        <v>195520</v>
      </c>
      <c r="G31" s="31">
        <v>207740</v>
      </c>
      <c r="H31" s="31">
        <v>219960</v>
      </c>
      <c r="J31" s="47">
        <v>0.04</v>
      </c>
      <c r="K31" s="31">
        <f t="shared" ref="K31:K38" si="10">(1+$J31)*K$29*$N$25</f>
        <v>146640</v>
      </c>
      <c r="L31" s="31">
        <f t="shared" si="9"/>
        <v>158860.00000000003</v>
      </c>
      <c r="M31" s="31">
        <f t="shared" si="9"/>
        <v>171080</v>
      </c>
      <c r="N31" s="31">
        <f t="shared" si="9"/>
        <v>183300</v>
      </c>
      <c r="O31" s="31">
        <f t="shared" si="9"/>
        <v>195520</v>
      </c>
      <c r="P31" s="31">
        <f t="shared" si="9"/>
        <v>207740</v>
      </c>
      <c r="Q31" s="31">
        <f t="shared" si="9"/>
        <v>219960.00000000003</v>
      </c>
    </row>
    <row r="32" spans="1:17" x14ac:dyDescent="0.25">
      <c r="A32" s="47">
        <v>0.05</v>
      </c>
      <c r="B32" s="31">
        <v>148050</v>
      </c>
      <c r="C32" s="31">
        <v>160387.5</v>
      </c>
      <c r="D32" s="31">
        <v>172725</v>
      </c>
      <c r="E32" s="31">
        <v>185062.5</v>
      </c>
      <c r="F32" s="31">
        <v>197400</v>
      </c>
      <c r="G32" s="31">
        <v>209737.5</v>
      </c>
      <c r="H32" s="31">
        <v>222075</v>
      </c>
      <c r="J32" s="47">
        <v>0.05</v>
      </c>
      <c r="K32" s="31">
        <f t="shared" si="10"/>
        <v>148050</v>
      </c>
      <c r="L32" s="31">
        <f t="shared" si="9"/>
        <v>160387.5</v>
      </c>
      <c r="M32" s="31">
        <f t="shared" si="9"/>
        <v>172725</v>
      </c>
      <c r="N32" s="31">
        <f t="shared" si="9"/>
        <v>185062.5</v>
      </c>
      <c r="O32" s="31">
        <f t="shared" si="9"/>
        <v>197400</v>
      </c>
      <c r="P32" s="31">
        <f t="shared" si="9"/>
        <v>209737.5</v>
      </c>
      <c r="Q32" s="31">
        <f t="shared" si="9"/>
        <v>222075</v>
      </c>
    </row>
    <row r="33" spans="1:17" x14ac:dyDescent="0.25">
      <c r="A33" s="47">
        <v>0.06</v>
      </c>
      <c r="B33" s="31">
        <v>149460</v>
      </c>
      <c r="C33" s="31">
        <v>161915</v>
      </c>
      <c r="D33" s="31">
        <v>174370</v>
      </c>
      <c r="E33" s="31">
        <v>186825</v>
      </c>
      <c r="F33" s="31">
        <v>199280</v>
      </c>
      <c r="G33" s="31">
        <v>211735</v>
      </c>
      <c r="H33" s="31">
        <v>224190</v>
      </c>
      <c r="J33" s="47">
        <v>0.06</v>
      </c>
      <c r="K33" s="31">
        <f t="shared" si="10"/>
        <v>149460</v>
      </c>
      <c r="L33" s="31">
        <f t="shared" si="9"/>
        <v>161915</v>
      </c>
      <c r="M33" s="31">
        <f t="shared" si="9"/>
        <v>174370</v>
      </c>
      <c r="N33" s="31">
        <f t="shared" si="9"/>
        <v>186825</v>
      </c>
      <c r="O33" s="31">
        <f t="shared" si="9"/>
        <v>199280.00000000003</v>
      </c>
      <c r="P33" s="31">
        <f t="shared" si="9"/>
        <v>211735.00000000003</v>
      </c>
      <c r="Q33" s="31">
        <f t="shared" si="9"/>
        <v>224190</v>
      </c>
    </row>
    <row r="34" spans="1:17" s="32" customFormat="1" x14ac:dyDescent="0.25">
      <c r="A34" s="47">
        <v>7.0000000000000007E-2</v>
      </c>
      <c r="B34" s="31">
        <v>150870</v>
      </c>
      <c r="C34" s="31">
        <v>163442.5</v>
      </c>
      <c r="D34" s="31">
        <v>176015</v>
      </c>
      <c r="E34" s="31">
        <v>188587.5</v>
      </c>
      <c r="F34" s="31">
        <v>201160</v>
      </c>
      <c r="G34" s="31">
        <v>213732.5</v>
      </c>
      <c r="H34" s="31">
        <v>226305</v>
      </c>
      <c r="J34" s="47">
        <v>7.0000000000000007E-2</v>
      </c>
      <c r="K34" s="31">
        <f t="shared" si="10"/>
        <v>150870</v>
      </c>
      <c r="L34" s="31">
        <f t="shared" si="9"/>
        <v>163442.5</v>
      </c>
      <c r="M34" s="31">
        <f t="shared" si="9"/>
        <v>176015</v>
      </c>
      <c r="N34" s="31">
        <f t="shared" si="9"/>
        <v>188587.5</v>
      </c>
      <c r="O34" s="31">
        <f t="shared" si="9"/>
        <v>201160.00000000003</v>
      </c>
      <c r="P34" s="31">
        <f t="shared" si="9"/>
        <v>213732.5</v>
      </c>
      <c r="Q34" s="31">
        <f t="shared" si="9"/>
        <v>226305.00000000003</v>
      </c>
    </row>
    <row r="35" spans="1:17" x14ac:dyDescent="0.25">
      <c r="A35" s="47">
        <v>0.08</v>
      </c>
      <c r="B35" s="31">
        <v>152280</v>
      </c>
      <c r="C35" s="31">
        <v>164970</v>
      </c>
      <c r="D35" s="31">
        <v>177660</v>
      </c>
      <c r="E35" s="31">
        <v>190350</v>
      </c>
      <c r="F35" s="31">
        <v>203040</v>
      </c>
      <c r="G35" s="31">
        <v>215730</v>
      </c>
      <c r="H35" s="31">
        <v>228420.00000000003</v>
      </c>
      <c r="J35" s="47">
        <v>0.08</v>
      </c>
      <c r="K35" s="31">
        <f t="shared" si="10"/>
        <v>152280.00000000003</v>
      </c>
      <c r="L35" s="31">
        <f t="shared" si="9"/>
        <v>164970</v>
      </c>
      <c r="M35" s="31">
        <f t="shared" si="9"/>
        <v>177660.00000000003</v>
      </c>
      <c r="N35" s="31">
        <f t="shared" si="9"/>
        <v>190350</v>
      </c>
      <c r="O35" s="31">
        <f t="shared" si="9"/>
        <v>203040</v>
      </c>
      <c r="P35" s="31">
        <f t="shared" si="9"/>
        <v>215730.00000000003</v>
      </c>
      <c r="Q35" s="31">
        <f t="shared" si="9"/>
        <v>228420</v>
      </c>
    </row>
    <row r="36" spans="1:17" x14ac:dyDescent="0.25">
      <c r="A36" s="47">
        <v>0.09</v>
      </c>
      <c r="B36" s="31">
        <v>153690</v>
      </c>
      <c r="C36" s="31">
        <v>166497.5</v>
      </c>
      <c r="D36" s="31">
        <v>179305</v>
      </c>
      <c r="E36" s="31">
        <v>192112.5</v>
      </c>
      <c r="F36" s="31">
        <v>204920.00000000003</v>
      </c>
      <c r="G36" s="31">
        <v>217727.50000000003</v>
      </c>
      <c r="H36" s="31">
        <v>230535.00000000003</v>
      </c>
      <c r="J36" s="47">
        <v>0.09</v>
      </c>
      <c r="K36" s="31">
        <f t="shared" si="10"/>
        <v>153690</v>
      </c>
      <c r="L36" s="31">
        <f t="shared" si="9"/>
        <v>166497.50000000003</v>
      </c>
      <c r="M36" s="31">
        <f t="shared" si="9"/>
        <v>179305.00000000003</v>
      </c>
      <c r="N36" s="31">
        <f t="shared" si="9"/>
        <v>192112.5</v>
      </c>
      <c r="O36" s="31">
        <f t="shared" si="9"/>
        <v>204920</v>
      </c>
      <c r="P36" s="31">
        <f t="shared" si="9"/>
        <v>217727.5</v>
      </c>
      <c r="Q36" s="31">
        <f t="shared" si="9"/>
        <v>230535.00000000003</v>
      </c>
    </row>
    <row r="37" spans="1:17" x14ac:dyDescent="0.25">
      <c r="A37" s="47">
        <v>0.1</v>
      </c>
      <c r="B37" s="31">
        <v>155100</v>
      </c>
      <c r="C37" s="31">
        <v>168025</v>
      </c>
      <c r="D37" s="31">
        <v>180950.00000000003</v>
      </c>
      <c r="E37" s="31">
        <v>193875.00000000003</v>
      </c>
      <c r="F37" s="31">
        <v>206800.00000000003</v>
      </c>
      <c r="G37" s="31">
        <v>219725.00000000003</v>
      </c>
      <c r="H37" s="31">
        <v>232650.00000000003</v>
      </c>
      <c r="J37" s="47">
        <v>0.1</v>
      </c>
      <c r="K37" s="31">
        <f t="shared" si="10"/>
        <v>155100</v>
      </c>
      <c r="L37" s="31">
        <f t="shared" si="9"/>
        <v>168025</v>
      </c>
      <c r="M37" s="31">
        <f t="shared" si="9"/>
        <v>180950</v>
      </c>
      <c r="N37" s="31">
        <f t="shared" si="9"/>
        <v>193875</v>
      </c>
      <c r="O37" s="31">
        <f t="shared" si="9"/>
        <v>206800</v>
      </c>
      <c r="P37" s="31">
        <f t="shared" si="9"/>
        <v>219725.00000000003</v>
      </c>
      <c r="Q37" s="31">
        <f t="shared" si="9"/>
        <v>232650.00000000003</v>
      </c>
    </row>
    <row r="38" spans="1:17" x14ac:dyDescent="0.25">
      <c r="A38" s="47">
        <v>0.11</v>
      </c>
      <c r="B38" s="31">
        <v>156510</v>
      </c>
      <c r="C38" s="31">
        <v>169552.50000000003</v>
      </c>
      <c r="D38" s="31">
        <v>182595.00000000003</v>
      </c>
      <c r="E38" s="31">
        <v>195637.50000000003</v>
      </c>
      <c r="F38" s="31">
        <v>208680.00000000003</v>
      </c>
      <c r="G38" s="31">
        <v>221722.50000000003</v>
      </c>
      <c r="H38" s="31">
        <v>234765.00000000003</v>
      </c>
      <c r="J38" s="47">
        <v>0.11</v>
      </c>
      <c r="K38" s="31">
        <f t="shared" si="10"/>
        <v>156510.00000000003</v>
      </c>
      <c r="L38" s="31">
        <f t="shared" si="9"/>
        <v>169552.5</v>
      </c>
      <c r="M38" s="31">
        <f t="shared" si="9"/>
        <v>182595</v>
      </c>
      <c r="N38" s="31">
        <f t="shared" si="9"/>
        <v>195637.50000000003</v>
      </c>
      <c r="O38" s="31">
        <f t="shared" si="9"/>
        <v>208680.00000000003</v>
      </c>
      <c r="P38" s="31">
        <f t="shared" si="9"/>
        <v>221722.50000000003</v>
      </c>
      <c r="Q38" s="31">
        <f t="shared" si="9"/>
        <v>234765</v>
      </c>
    </row>
    <row r="40" spans="1:17" x14ac:dyDescent="0.25">
      <c r="I40" t="s">
        <v>54</v>
      </c>
    </row>
    <row r="41" spans="1:17" x14ac:dyDescent="0.25">
      <c r="F41" s="52">
        <f>K30-B30</f>
        <v>0</v>
      </c>
      <c r="G41" s="52">
        <f t="shared" ref="G41:L41" si="11">L30-C30</f>
        <v>0</v>
      </c>
      <c r="H41" s="52">
        <f t="shared" si="11"/>
        <v>0</v>
      </c>
      <c r="I41" s="52">
        <f t="shared" si="11"/>
        <v>0</v>
      </c>
      <c r="J41" s="52">
        <f t="shared" si="11"/>
        <v>0</v>
      </c>
      <c r="K41" s="52">
        <f t="shared" si="11"/>
        <v>0</v>
      </c>
      <c r="L41" s="52">
        <f t="shared" si="11"/>
        <v>0</v>
      </c>
    </row>
    <row r="42" spans="1:17" x14ac:dyDescent="0.25">
      <c r="F42" s="52">
        <f t="shared" ref="F42:F49" si="12">K31-B31</f>
        <v>0</v>
      </c>
      <c r="G42" s="52">
        <f t="shared" ref="G42:G49" si="13">L31-C31</f>
        <v>0</v>
      </c>
      <c r="H42" s="52">
        <f t="shared" ref="H42:H49" si="14">M31-D31</f>
        <v>0</v>
      </c>
      <c r="I42" s="52">
        <f t="shared" ref="I42:I49" si="15">N31-E31</f>
        <v>0</v>
      </c>
      <c r="J42" s="52">
        <f t="shared" ref="J42:J49" si="16">O31-F31</f>
        <v>0</v>
      </c>
      <c r="K42" s="52">
        <f t="shared" ref="K42:K49" si="17">P31-G31</f>
        <v>0</v>
      </c>
      <c r="L42" s="52">
        <f t="shared" ref="L42:L49" si="18">Q31-H31</f>
        <v>0</v>
      </c>
    </row>
    <row r="43" spans="1:17" x14ac:dyDescent="0.25">
      <c r="F43" s="52">
        <f t="shared" si="12"/>
        <v>0</v>
      </c>
      <c r="G43" s="52">
        <f t="shared" si="13"/>
        <v>0</v>
      </c>
      <c r="H43" s="52">
        <f t="shared" si="14"/>
        <v>0</v>
      </c>
      <c r="I43" s="52">
        <f t="shared" si="15"/>
        <v>0</v>
      </c>
      <c r="J43" s="52">
        <f t="shared" si="16"/>
        <v>0</v>
      </c>
      <c r="K43" s="52">
        <f t="shared" si="17"/>
        <v>0</v>
      </c>
      <c r="L43" s="52">
        <f t="shared" si="18"/>
        <v>0</v>
      </c>
    </row>
    <row r="44" spans="1:17" x14ac:dyDescent="0.25">
      <c r="F44" s="52">
        <f t="shared" si="12"/>
        <v>0</v>
      </c>
      <c r="G44" s="52">
        <f t="shared" si="13"/>
        <v>0</v>
      </c>
      <c r="H44" s="52">
        <f t="shared" si="14"/>
        <v>0</v>
      </c>
      <c r="I44" s="52">
        <f t="shared" si="15"/>
        <v>0</v>
      </c>
      <c r="J44" s="52">
        <f t="shared" si="16"/>
        <v>0</v>
      </c>
      <c r="K44" s="52">
        <f t="shared" si="17"/>
        <v>0</v>
      </c>
      <c r="L44" s="52">
        <f t="shared" si="18"/>
        <v>0</v>
      </c>
    </row>
    <row r="45" spans="1:17" x14ac:dyDescent="0.25">
      <c r="F45" s="52">
        <f t="shared" si="12"/>
        <v>0</v>
      </c>
      <c r="G45" s="52">
        <f t="shared" si="13"/>
        <v>0</v>
      </c>
      <c r="H45" s="52">
        <f t="shared" si="14"/>
        <v>0</v>
      </c>
      <c r="I45" s="52">
        <f t="shared" si="15"/>
        <v>0</v>
      </c>
      <c r="J45" s="52">
        <f t="shared" si="16"/>
        <v>0</v>
      </c>
      <c r="K45" s="52">
        <f t="shared" si="17"/>
        <v>0</v>
      </c>
      <c r="L45" s="52">
        <f t="shared" si="18"/>
        <v>0</v>
      </c>
    </row>
    <row r="46" spans="1:17" x14ac:dyDescent="0.25">
      <c r="F46" s="52">
        <f t="shared" si="12"/>
        <v>0</v>
      </c>
      <c r="G46" s="52">
        <f t="shared" si="13"/>
        <v>0</v>
      </c>
      <c r="H46" s="52">
        <f t="shared" si="14"/>
        <v>0</v>
      </c>
      <c r="I46" s="52">
        <f t="shared" si="15"/>
        <v>0</v>
      </c>
      <c r="J46" s="52">
        <f t="shared" si="16"/>
        <v>0</v>
      </c>
      <c r="K46" s="52">
        <f t="shared" si="17"/>
        <v>0</v>
      </c>
      <c r="L46" s="52">
        <f>Q35-H35</f>
        <v>0</v>
      </c>
    </row>
    <row r="47" spans="1:17" x14ac:dyDescent="0.25">
      <c r="F47" s="52">
        <f t="shared" si="12"/>
        <v>0</v>
      </c>
      <c r="G47" s="52">
        <f t="shared" si="13"/>
        <v>0</v>
      </c>
      <c r="H47" s="52">
        <f t="shared" si="14"/>
        <v>0</v>
      </c>
      <c r="I47" s="52">
        <f t="shared" si="15"/>
        <v>0</v>
      </c>
      <c r="J47" s="52">
        <f t="shared" si="16"/>
        <v>0</v>
      </c>
      <c r="K47" s="52">
        <f t="shared" si="17"/>
        <v>0</v>
      </c>
      <c r="L47" s="52">
        <f t="shared" si="18"/>
        <v>0</v>
      </c>
    </row>
    <row r="48" spans="1:17" x14ac:dyDescent="0.25">
      <c r="F48" s="52">
        <f t="shared" si="12"/>
        <v>0</v>
      </c>
      <c r="G48" s="52">
        <f t="shared" si="13"/>
        <v>0</v>
      </c>
      <c r="H48" s="52">
        <f t="shared" si="14"/>
        <v>0</v>
      </c>
      <c r="I48" s="52">
        <f t="shared" si="15"/>
        <v>0</v>
      </c>
      <c r="J48" s="52">
        <f t="shared" si="16"/>
        <v>0</v>
      </c>
      <c r="K48" s="52">
        <f t="shared" si="17"/>
        <v>0</v>
      </c>
      <c r="L48" s="52">
        <f t="shared" si="18"/>
        <v>0</v>
      </c>
    </row>
    <row r="49" spans="6:12" x14ac:dyDescent="0.25">
      <c r="F49" s="52">
        <f t="shared" si="12"/>
        <v>0</v>
      </c>
      <c r="G49" s="52">
        <f t="shared" si="13"/>
        <v>0</v>
      </c>
      <c r="H49" s="52">
        <f t="shared" si="14"/>
        <v>0</v>
      </c>
      <c r="I49" s="52">
        <f t="shared" si="15"/>
        <v>0</v>
      </c>
      <c r="J49" s="52">
        <f t="shared" si="16"/>
        <v>0</v>
      </c>
      <c r="K49" s="52">
        <f t="shared" si="17"/>
        <v>0</v>
      </c>
      <c r="L49" s="52">
        <f t="shared" si="18"/>
        <v>0</v>
      </c>
    </row>
  </sheetData>
  <conditionalFormatting sqref="I18:I2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:L4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5" sqref="B5"/>
    </sheetView>
  </sheetViews>
  <sheetFormatPr defaultColWidth="8.85546875" defaultRowHeight="15" x14ac:dyDescent="0.25"/>
  <cols>
    <col min="1" max="1" width="40.5703125" style="1" customWidth="1"/>
    <col min="2" max="2" width="12.5703125" style="1" customWidth="1"/>
    <col min="3" max="3" width="7.140625" style="1" customWidth="1"/>
    <col min="4" max="4" width="40.5703125" style="1" customWidth="1"/>
    <col min="5" max="5" width="12.5703125" style="1" customWidth="1"/>
    <col min="6" max="16384" width="8.85546875" style="1"/>
  </cols>
  <sheetData>
    <row r="1" spans="1:6" s="16" customFormat="1" ht="40.700000000000003" customHeight="1" x14ac:dyDescent="0.25">
      <c r="A1" s="13" t="s">
        <v>23</v>
      </c>
      <c r="B1" s="14"/>
      <c r="C1" s="14"/>
      <c r="D1" s="14"/>
      <c r="E1" s="14"/>
      <c r="F1" s="15"/>
    </row>
    <row r="2" spans="1:6" s="18" customFormat="1" ht="3.95" customHeight="1" x14ac:dyDescent="0.25">
      <c r="A2" s="19"/>
      <c r="B2" s="20"/>
      <c r="C2" s="20"/>
      <c r="D2" s="20"/>
      <c r="E2" s="20"/>
      <c r="F2" s="17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21</v>
      </c>
      <c r="B4" s="4"/>
      <c r="C4" s="4"/>
      <c r="D4" s="5" t="s">
        <v>22</v>
      </c>
      <c r="E4" s="4"/>
      <c r="F4" s="4"/>
    </row>
    <row r="5" spans="1:6" x14ac:dyDescent="0.25">
      <c r="A5" s="4" t="s">
        <v>49</v>
      </c>
      <c r="B5" s="10">
        <v>10</v>
      </c>
      <c r="C5" s="4"/>
      <c r="D5" s="4" t="s">
        <v>0</v>
      </c>
      <c r="E5" s="4">
        <f>B5*B6</f>
        <v>10000</v>
      </c>
      <c r="F5" s="4"/>
    </row>
    <row r="6" spans="1:6" x14ac:dyDescent="0.25">
      <c r="A6" s="4" t="s">
        <v>35</v>
      </c>
      <c r="B6" s="10">
        <v>1000</v>
      </c>
      <c r="C6" s="4"/>
      <c r="D6" s="4" t="s">
        <v>4</v>
      </c>
      <c r="E6" s="6">
        <f>B7*B8*B9</f>
        <v>400</v>
      </c>
      <c r="F6" s="4"/>
    </row>
    <row r="7" spans="1:6" x14ac:dyDescent="0.25">
      <c r="A7" s="4" t="s">
        <v>1</v>
      </c>
      <c r="B7" s="11">
        <v>10</v>
      </c>
      <c r="C7" s="4"/>
      <c r="D7" s="4" t="s">
        <v>5</v>
      </c>
      <c r="E7" s="21">
        <f>E5/E6</f>
        <v>25</v>
      </c>
      <c r="F7" s="4"/>
    </row>
    <row r="8" spans="1:6" x14ac:dyDescent="0.25">
      <c r="A8" s="4" t="s">
        <v>2</v>
      </c>
      <c r="B8" s="11">
        <v>8</v>
      </c>
      <c r="C8" s="4"/>
      <c r="D8" s="4"/>
      <c r="E8" s="4"/>
      <c r="F8" s="4"/>
    </row>
    <row r="9" spans="1:6" ht="15.75" x14ac:dyDescent="0.25">
      <c r="A9" s="4" t="s">
        <v>3</v>
      </c>
      <c r="B9" s="11">
        <v>5</v>
      </c>
      <c r="C9" s="4"/>
      <c r="D9" s="5" t="s">
        <v>6</v>
      </c>
      <c r="E9" s="4"/>
      <c r="F9" s="4"/>
    </row>
    <row r="10" spans="1:6" x14ac:dyDescent="0.25">
      <c r="A10" s="4" t="s">
        <v>16</v>
      </c>
      <c r="B10" s="10">
        <v>35</v>
      </c>
      <c r="C10" s="4"/>
      <c r="D10" s="4" t="s">
        <v>7</v>
      </c>
      <c r="E10" s="4">
        <f>B8*B9</f>
        <v>40</v>
      </c>
      <c r="F10" s="4"/>
    </row>
    <row r="11" spans="1:6" x14ac:dyDescent="0.25">
      <c r="A11" s="4" t="s">
        <v>14</v>
      </c>
      <c r="B11" s="10">
        <v>50</v>
      </c>
      <c r="C11" s="4"/>
      <c r="D11" s="4" t="s">
        <v>8</v>
      </c>
      <c r="E11" s="7">
        <f>E10*B11</f>
        <v>2000</v>
      </c>
      <c r="F11" s="4"/>
    </row>
    <row r="12" spans="1:6" x14ac:dyDescent="0.25">
      <c r="A12" s="4" t="s">
        <v>15</v>
      </c>
      <c r="B12" s="10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25">
      <c r="C13" s="4"/>
      <c r="D13" s="4"/>
      <c r="E13" s="4"/>
      <c r="F13" s="4"/>
    </row>
    <row r="14" spans="1:6" ht="15.75" x14ac:dyDescent="0.25">
      <c r="A14" s="5" t="s">
        <v>10</v>
      </c>
      <c r="C14" s="4"/>
      <c r="D14" s="5" t="s">
        <v>17</v>
      </c>
      <c r="F14" s="4"/>
    </row>
    <row r="15" spans="1:6" x14ac:dyDescent="0.25">
      <c r="A15" s="4" t="s">
        <v>11</v>
      </c>
      <c r="B15" s="7">
        <f>E11+E12</f>
        <v>2375</v>
      </c>
      <c r="C15" s="4"/>
      <c r="D15" s="9" t="s">
        <v>38</v>
      </c>
      <c r="E15" s="36">
        <v>35</v>
      </c>
      <c r="F15" s="4"/>
    </row>
    <row r="16" spans="1:6" x14ac:dyDescent="0.25">
      <c r="A16" s="4" t="s">
        <v>12</v>
      </c>
      <c r="B16" s="7">
        <f>B15*B7</f>
        <v>23750</v>
      </c>
      <c r="C16" s="4"/>
      <c r="D16" s="9" t="s">
        <v>48</v>
      </c>
      <c r="E16" s="37">
        <v>2140</v>
      </c>
      <c r="F16" s="4"/>
    </row>
    <row r="17" spans="1:6" x14ac:dyDescent="0.25">
      <c r="A17" s="4" t="s">
        <v>13</v>
      </c>
      <c r="B17" s="7">
        <f>B16*E7</f>
        <v>593750</v>
      </c>
      <c r="C17" s="4"/>
      <c r="D17" s="9" t="s">
        <v>47</v>
      </c>
      <c r="E17" s="7">
        <f>E15*E16</f>
        <v>74900</v>
      </c>
      <c r="F17" s="4"/>
    </row>
    <row r="18" spans="1:6" x14ac:dyDescent="0.25">
      <c r="A18" s="4" t="s">
        <v>24</v>
      </c>
      <c r="B18" s="12">
        <v>100000</v>
      </c>
      <c r="C18" s="4"/>
      <c r="D18" s="9" t="s">
        <v>18</v>
      </c>
      <c r="E18" s="7">
        <f>E17*B5</f>
        <v>749000</v>
      </c>
      <c r="F18" s="4"/>
    </row>
    <row r="19" spans="1:6" x14ac:dyDescent="0.25">
      <c r="A19" s="4"/>
      <c r="B19" s="8"/>
      <c r="C19" s="4"/>
      <c r="D19" s="4"/>
      <c r="E19" s="4"/>
      <c r="F19" s="4"/>
    </row>
    <row r="20" spans="1:6" ht="15.75" thickBot="1" x14ac:dyDescent="0.3">
      <c r="A20" s="2" t="s">
        <v>19</v>
      </c>
      <c r="B20" s="3">
        <f>B17+B18</f>
        <v>693750</v>
      </c>
      <c r="C20" s="4"/>
      <c r="D20" s="2" t="s">
        <v>20</v>
      </c>
      <c r="E20" s="3">
        <f>E18-B20</f>
        <v>55250</v>
      </c>
      <c r="F20" s="4"/>
    </row>
    <row r="21" spans="1:6" ht="15.75" thickTop="1" x14ac:dyDescent="0.25">
      <c r="C21" s="4"/>
      <c r="D21" s="4"/>
      <c r="E21" s="4"/>
      <c r="F21" s="4"/>
    </row>
    <row r="22" spans="1:6" x14ac:dyDescent="0.25">
      <c r="C22" s="4"/>
      <c r="D22" s="4"/>
      <c r="E22" s="4"/>
      <c r="F22" s="4"/>
    </row>
    <row r="23" spans="1:6" x14ac:dyDescent="0.25">
      <c r="C23" s="4"/>
      <c r="D23" s="4"/>
      <c r="E23" s="4"/>
      <c r="F23" s="4"/>
    </row>
    <row r="24" spans="1:6" x14ac:dyDescent="0.25">
      <c r="C24" s="4"/>
      <c r="D24" s="4"/>
      <c r="E24" s="4"/>
      <c r="F24" s="4"/>
    </row>
    <row r="25" spans="1:6" x14ac:dyDescent="0.25"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 &amp; Estimates</vt:lpstr>
      <vt:lpstr>Project Costing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2017-08-25T02:34:34Z</dcterms:created>
  <dcterms:modified xsi:type="dcterms:W3CDTF">2026-10-30T17:34:57Z</dcterms:modified>
</cp:coreProperties>
</file>