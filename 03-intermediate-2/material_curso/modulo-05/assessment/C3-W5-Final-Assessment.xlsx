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5\assessment\"/>
    </mc:Choice>
  </mc:AlternateContent>
  <xr:revisionPtr revIDLastSave="0" documentId="13_ncr:1_{65372AB2-C57E-45D3-8635-A8C00F50AE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troduction" sheetId="6" r:id="rId1"/>
    <sheet name="Scenario Summary" sheetId="7" r:id="rId2"/>
    <sheet name="Landscaping Data" sheetId="3" r:id="rId3"/>
  </sheets>
  <definedNames>
    <definedName name="Profit">'Landscaping Data'!$B$41</definedName>
    <definedName name="Quantity_Sold__Per_Manual">#REF!</definedName>
    <definedName name="Reviewers">'Landscaping Data'!#REF!</definedName>
    <definedName name="Sale_Price">#REF!</definedName>
    <definedName name="solver_adj" localSheetId="2" hidden="1">'Landscaping Data'!$B$38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'Landscaping Data'!$G$12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'Landscaping Data'!$B$41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hs1" localSheetId="2" hidden="1">130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" l="1"/>
  <c r="B39" i="3"/>
  <c r="K34" i="3"/>
  <c r="A26" i="3"/>
  <c r="B23" i="3"/>
  <c r="B15" i="3"/>
  <c r="G7" i="3"/>
  <c r="G8" i="3"/>
  <c r="G9" i="3"/>
  <c r="G10" i="3"/>
  <c r="G6" i="3"/>
  <c r="B7" i="3"/>
  <c r="B8" i="3"/>
  <c r="B9" i="3"/>
  <c r="B10" i="3"/>
  <c r="B6" i="3"/>
  <c r="C7" i="3"/>
  <c r="C8" i="3"/>
  <c r="C9" i="3"/>
  <c r="C10" i="3"/>
  <c r="C6" i="3"/>
  <c r="D7" i="3"/>
  <c r="D8" i="3"/>
  <c r="D9" i="3"/>
  <c r="D10" i="3"/>
  <c r="D6" i="3"/>
  <c r="E7" i="3"/>
  <c r="E8" i="3"/>
  <c r="E9" i="3"/>
  <c r="E10" i="3"/>
  <c r="E6" i="3"/>
  <c r="F4" i="3"/>
  <c r="B41" i="3" l="1"/>
  <c r="G12" i="3"/>
</calcChain>
</file>

<file path=xl/sharedStrings.xml><?xml version="1.0" encoding="utf-8"?>
<sst xmlns="http://schemas.openxmlformats.org/spreadsheetml/2006/main" count="46" uniqueCount="44">
  <si>
    <t>TOTAL HOURS</t>
  </si>
  <si>
    <t>High Level Tasks</t>
  </si>
  <si>
    <t>Expenses</t>
  </si>
  <si>
    <t>Weighting</t>
  </si>
  <si>
    <t>Great Weather</t>
  </si>
  <si>
    <t>Good Weather</t>
  </si>
  <si>
    <t>Bad Weather</t>
  </si>
  <si>
    <t>Stormy Weather</t>
  </si>
  <si>
    <t>Natural Disaster</t>
  </si>
  <si>
    <t>Landscaping Solutions</t>
  </si>
  <si>
    <t>Driveway</t>
  </si>
  <si>
    <t>Backyard</t>
  </si>
  <si>
    <t>Hourly Wage</t>
  </si>
  <si>
    <t>Estimated Wage Cost</t>
  </si>
  <si>
    <t>Bonus</t>
  </si>
  <si>
    <t>Estimated Wage + Bonus</t>
  </si>
  <si>
    <t>Profit</t>
  </si>
  <si>
    <t>Cost:</t>
  </si>
  <si>
    <t>Revenue:</t>
  </si>
  <si>
    <t>Quantity</t>
  </si>
  <si>
    <t>Gardens per week</t>
  </si>
  <si>
    <t>Question 3</t>
  </si>
  <si>
    <t>Estimated Hours</t>
  </si>
  <si>
    <t>Front yard</t>
  </si>
  <si>
    <t>Back veranda</t>
  </si>
  <si>
    <t>Front porch</t>
  </si>
  <si>
    <t>Excel Skills for Business: Intermediate II</t>
  </si>
  <si>
    <t>Week 5: Data Modelling</t>
  </si>
  <si>
    <t>Week 5: Learning Objectives</t>
  </si>
  <si>
    <t>Use the following functionalities in Excel for data modelling:
SUMPRODUCT
Data Tables
Goal Seek
Scenario Manager
Solver</t>
  </si>
  <si>
    <t>Final Assessment</t>
  </si>
  <si>
    <t>Question 4</t>
  </si>
  <si>
    <t>sum matriz</t>
  </si>
  <si>
    <t>$B$38</t>
  </si>
  <si>
    <t>Less Gardens</t>
  </si>
  <si>
    <t>Created by Russell Tito on 30/10/2026</t>
  </si>
  <si>
    <t>More Gardens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</si>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</sst>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$&quot;#,##0;[Red]\-&quot;$&quot;#,##0"/>
    <numFmt numFmtId="165" formatCode="_-&quot;$&quot;* #,##0.00_-;\-&quot;$&quot;* #,##0.00_-;_-&quot;$&quot;* &quot;-&quot;??_-;_-@_-"/>
    <numFmt numFmtId="166" formatCode="&quot;$&quot;#,##0.00"/>
    <numFmt numFmtId="167" formatCode="0.0"/>
    <numFmt numFmtId="168" formatCode="&quot;$&quot;#,##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22"/>
      <name val="Calibri Light"/>
      <family val="2"/>
      <scheme val="major"/>
    </font>
    <font>
      <b/>
      <sz val="24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thick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6" applyNumberFormat="0" applyAlignment="0" applyProtection="0"/>
    <xf numFmtId="0" fontId="14" fillId="2" borderId="6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18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31" fillId="0" borderId="0" applyNumberFormat="0" applyFill="0" applyBorder="0" applyAlignment="0" applyProtection="0"/>
    <xf numFmtId="0" fontId="33" fillId="0" borderId="0"/>
    <xf numFmtId="0" fontId="34" fillId="0" borderId="3" applyNumberFormat="0" applyFill="0" applyAlignment="0" applyProtection="0"/>
  </cellStyleXfs>
  <cellXfs count="75">
    <xf numFmtId="0" fontId="0" fillId="0" borderId="0" xfId="0"/>
    <xf numFmtId="0" fontId="19" fillId="37" borderId="0" xfId="3" applyFont="1" applyFill="1" applyAlignment="1">
      <alignment vertical="center"/>
    </xf>
    <xf numFmtId="0" fontId="20" fillId="37" borderId="0" xfId="3" applyFont="1" applyFill="1" applyAlignment="1">
      <alignment horizontal="center" vertical="center"/>
    </xf>
    <xf numFmtId="0" fontId="20" fillId="37" borderId="0" xfId="3" applyFont="1" applyFill="1" applyAlignment="1">
      <alignment vertical="center"/>
    </xf>
    <xf numFmtId="0" fontId="21" fillId="0" borderId="0" xfId="0" applyFont="1"/>
    <xf numFmtId="0" fontId="22" fillId="33" borderId="0" xfId="3" applyFont="1" applyFill="1" applyAlignment="1">
      <alignment vertical="center"/>
    </xf>
    <xf numFmtId="0" fontId="23" fillId="33" borderId="0" xfId="3" applyFont="1" applyFill="1" applyAlignment="1">
      <alignment horizontal="center" vertical="center"/>
    </xf>
    <xf numFmtId="0" fontId="23" fillId="33" borderId="0" xfId="3" applyFont="1" applyFill="1" applyAlignment="1">
      <alignment vertical="center"/>
    </xf>
    <xf numFmtId="0" fontId="24" fillId="0" borderId="10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1" fillId="0" borderId="12" xfId="0" applyFont="1" applyBorder="1"/>
    <xf numFmtId="0" fontId="25" fillId="35" borderId="0" xfId="32" applyFont="1" applyFill="1" applyAlignment="1">
      <alignment horizontal="center" vertical="center"/>
    </xf>
    <xf numFmtId="0" fontId="25" fillId="35" borderId="0" xfId="32" applyFont="1" applyFill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4" fillId="0" borderId="0" xfId="0" applyFont="1"/>
    <xf numFmtId="0" fontId="24" fillId="0" borderId="2" xfId="2" applyFont="1"/>
    <xf numFmtId="0" fontId="24" fillId="0" borderId="2" xfId="2" applyFont="1" applyAlignment="1">
      <alignment horizontal="center"/>
    </xf>
    <xf numFmtId="167" fontId="24" fillId="0" borderId="2" xfId="2" applyNumberFormat="1" applyFont="1" applyAlignment="1">
      <alignment horizontal="center"/>
    </xf>
    <xf numFmtId="166" fontId="21" fillId="0" borderId="0" xfId="0" applyNumberFormat="1" applyFont="1"/>
    <xf numFmtId="0" fontId="25" fillId="35" borderId="0" xfId="32" applyFont="1" applyFill="1" applyAlignment="1">
      <alignment horizontal="right"/>
    </xf>
    <xf numFmtId="166" fontId="26" fillId="36" borderId="1" xfId="1" applyNumberFormat="1" applyFont="1" applyFill="1"/>
    <xf numFmtId="0" fontId="25" fillId="35" borderId="0" xfId="32" applyFont="1" applyFill="1" applyAlignment="1">
      <alignment horizontal="left"/>
    </xf>
    <xf numFmtId="0" fontId="27" fillId="35" borderId="0" xfId="32" applyFont="1" applyFill="1" applyAlignment="1">
      <alignment horizontal="right"/>
    </xf>
    <xf numFmtId="0" fontId="25" fillId="0" borderId="0" xfId="32" applyFont="1" applyFill="1" applyBorder="1" applyAlignment="1">
      <alignment horizontal="center" vertical="center" wrapText="1"/>
    </xf>
    <xf numFmtId="168" fontId="21" fillId="18" borderId="0" xfId="33" applyNumberFormat="1" applyFont="1"/>
    <xf numFmtId="0" fontId="21" fillId="18" borderId="0" xfId="33" applyFont="1" applyAlignment="1">
      <alignment horizontal="left"/>
    </xf>
    <xf numFmtId="164" fontId="21" fillId="0" borderId="0" xfId="0" applyNumberFormat="1" applyFont="1"/>
    <xf numFmtId="0" fontId="26" fillId="0" borderId="0" xfId="1" applyFont="1" applyFill="1" applyBorder="1" applyAlignment="1">
      <alignment horizontal="center"/>
    </xf>
    <xf numFmtId="0" fontId="21" fillId="0" borderId="0" xfId="0" applyFont="1" applyFill="1" applyBorder="1"/>
    <xf numFmtId="9" fontId="21" fillId="0" borderId="0" xfId="10" applyFont="1"/>
    <xf numFmtId="0" fontId="28" fillId="34" borderId="0" xfId="32" applyFont="1" applyFill="1"/>
    <xf numFmtId="0" fontId="21" fillId="34" borderId="0" xfId="33" applyFont="1" applyFill="1" applyAlignment="1">
      <alignment horizontal="left"/>
    </xf>
    <xf numFmtId="166" fontId="21" fillId="34" borderId="0" xfId="0" applyNumberFormat="1" applyFont="1" applyFill="1"/>
    <xf numFmtId="0" fontId="21" fillId="34" borderId="0" xfId="10" applyNumberFormat="1" applyFont="1" applyFill="1"/>
    <xf numFmtId="9" fontId="21" fillId="34" borderId="0" xfId="10" applyFont="1" applyFill="1"/>
    <xf numFmtId="166" fontId="26" fillId="36" borderId="1" xfId="1" applyNumberFormat="1" applyFont="1" applyFill="1" applyAlignment="1"/>
    <xf numFmtId="10" fontId="21" fillId="18" borderId="0" xfId="33" applyNumberFormat="1" applyFont="1"/>
    <xf numFmtId="2" fontId="21" fillId="0" borderId="0" xfId="0" applyNumberFormat="1" applyFont="1"/>
    <xf numFmtId="4" fontId="26" fillId="36" borderId="1" xfId="1" applyNumberFormat="1" applyFont="1" applyFill="1" applyAlignment="1"/>
    <xf numFmtId="0" fontId="0" fillId="0" borderId="0" xfId="0" applyFont="1"/>
    <xf numFmtId="166" fontId="21" fillId="38" borderId="13" xfId="0" applyNumberFormat="1" applyFont="1" applyFill="1" applyBorder="1"/>
    <xf numFmtId="0" fontId="1" fillId="34" borderId="0" xfId="48" applyFill="1" applyAlignment="1">
      <alignment horizontal="left" indent="3"/>
    </xf>
    <xf numFmtId="0" fontId="1" fillId="34" borderId="0" xfId="48" applyFill="1"/>
    <xf numFmtId="0" fontId="1" fillId="34" borderId="14" xfId="48" applyFill="1" applyBorder="1"/>
    <xf numFmtId="0" fontId="33" fillId="34" borderId="0" xfId="50" applyFill="1"/>
    <xf numFmtId="0" fontId="0" fillId="34" borderId="0" xfId="0" applyFill="1" applyAlignment="1">
      <alignment horizontal="left" indent="3"/>
    </xf>
    <xf numFmtId="0" fontId="0" fillId="34" borderId="0" xfId="0" applyFill="1"/>
    <xf numFmtId="0" fontId="35" fillId="34" borderId="0" xfId="51" applyFont="1" applyFill="1" applyBorder="1" applyAlignment="1">
      <alignment horizontal="left" indent="3"/>
    </xf>
    <xf numFmtId="0" fontId="35" fillId="34" borderId="0" xfId="51" applyFont="1" applyFill="1" applyBorder="1"/>
    <xf numFmtId="0" fontId="36" fillId="34" borderId="15" xfId="48" applyFont="1" applyFill="1" applyBorder="1" applyAlignment="1">
      <alignment horizontal="left" indent="3"/>
    </xf>
    <xf numFmtId="0" fontId="36" fillId="34" borderId="15" xfId="48" applyFont="1" applyFill="1" applyBorder="1"/>
    <xf numFmtId="0" fontId="0" fillId="34" borderId="0" xfId="0" applyFill="1" applyAlignment="1">
      <alignment vertical="top" wrapText="1"/>
    </xf>
    <xf numFmtId="0" fontId="37" fillId="34" borderId="0" xfId="48" applyFont="1" applyFill="1"/>
    <xf numFmtId="0" fontId="29" fillId="34" borderId="14" xfId="48" applyFont="1" applyFill="1" applyBorder="1" applyAlignment="1">
      <alignment horizontal="center"/>
    </xf>
    <xf numFmtId="0" fontId="29" fillId="34" borderId="0" xfId="48" applyFont="1" applyFill="1" applyAlignment="1">
      <alignment horizontal="center"/>
    </xf>
    <xf numFmtId="0" fontId="30" fillId="34" borderId="14" xfId="48" applyFont="1" applyFill="1" applyBorder="1" applyAlignment="1">
      <alignment horizontal="center"/>
    </xf>
    <xf numFmtId="0" fontId="30" fillId="34" borderId="0" xfId="48" applyFont="1" applyFill="1" applyAlignment="1">
      <alignment horizontal="center"/>
    </xf>
    <xf numFmtId="0" fontId="32" fillId="34" borderId="10" xfId="49" applyFont="1" applyFill="1" applyBorder="1" applyAlignment="1">
      <alignment horizontal="center"/>
    </xf>
    <xf numFmtId="0" fontId="32" fillId="34" borderId="11" xfId="49" applyFont="1" applyFill="1" applyBorder="1" applyAlignment="1">
      <alignment horizontal="center"/>
    </xf>
    <xf numFmtId="0" fontId="32" fillId="34" borderId="12" xfId="49" applyFont="1" applyFill="1" applyBorder="1" applyAlignment="1">
      <alignment horizontal="center"/>
    </xf>
    <xf numFmtId="0" fontId="0" fillId="34" borderId="0" xfId="0" applyFill="1" applyAlignment="1">
      <alignment horizontal="left" vertical="top" wrapText="1"/>
    </xf>
    <xf numFmtId="166" fontId="0" fillId="0" borderId="0" xfId="0" applyNumberFormat="1" applyFo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6" fontId="0" fillId="0" borderId="17" xfId="0" applyNumberFormat="1" applyFill="1" applyBorder="1" applyAlignment="1"/>
    <xf numFmtId="0" fontId="38" fillId="39" borderId="18" xfId="0" applyFont="1" applyFill="1" applyBorder="1" applyAlignment="1">
      <alignment horizontal="left"/>
    </xf>
    <xf numFmtId="0" fontId="38" fillId="39" borderId="16" xfId="0" applyFont="1" applyFill="1" applyBorder="1" applyAlignment="1">
      <alignment horizontal="left"/>
    </xf>
    <xf numFmtId="0" fontId="0" fillId="0" borderId="19" xfId="0" applyFill="1" applyBorder="1" applyAlignment="1"/>
    <xf numFmtId="0" fontId="39" fillId="40" borderId="0" xfId="0" applyFont="1" applyFill="1" applyBorder="1" applyAlignment="1">
      <alignment horizontal="left"/>
    </xf>
    <xf numFmtId="0" fontId="40" fillId="40" borderId="19" xfId="0" applyFont="1" applyFill="1" applyBorder="1" applyAlignment="1">
      <alignment horizontal="left"/>
    </xf>
    <xf numFmtId="0" fontId="39" fillId="40" borderId="17" xfId="0" applyFont="1" applyFill="1" applyBorder="1" applyAlignment="1">
      <alignment horizontal="left"/>
    </xf>
    <xf numFmtId="0" fontId="41" fillId="39" borderId="16" xfId="0" applyFont="1" applyFill="1" applyBorder="1" applyAlignment="1">
      <alignment horizontal="right"/>
    </xf>
    <xf numFmtId="0" fontId="41" fillId="39" borderId="18" xfId="0" applyFont="1" applyFill="1" applyBorder="1" applyAlignment="1">
      <alignment horizontal="right"/>
    </xf>
    <xf numFmtId="4" fontId="0" fillId="41" borderId="0" xfId="0" applyNumberFormat="1" applyFill="1" applyBorder="1" applyAlignment="1"/>
    <xf numFmtId="0" fontId="42" fillId="0" borderId="0" xfId="0" applyFont="1" applyFill="1" applyBorder="1" applyAlignment="1">
      <alignment vertical="top" wrapText="1"/>
    </xf>
  </cellXfs>
  <cellStyles count="52">
    <cellStyle name="20% - Accent1" xfId="26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7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8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3" builtinId="29" customBuiltin="1"/>
    <cellStyle name="Accent2" xfId="4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7" builtinId="27" customBuiltin="1"/>
    <cellStyle name="Calculation" xfId="20" builtinId="22" customBuiltin="1"/>
    <cellStyle name="Check Cell" xfId="22" builtinId="23" customBuiltin="1"/>
    <cellStyle name="Comma 2" xfId="8" xr:uid="{00000000-0005-0000-0000-00001B000000}"/>
    <cellStyle name="Currency 2" xfId="7" xr:uid="{00000000-0005-0000-0000-00001C000000}"/>
    <cellStyle name="Currency 3" xfId="5" xr:uid="{00000000-0005-0000-0000-00001D000000}"/>
    <cellStyle name="Currency 4" xfId="9" xr:uid="{00000000-0005-0000-0000-00001E000000}"/>
    <cellStyle name="Explanatory Text" xfId="25" builtinId="53" customBuiltin="1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9" builtinId="20" customBuiltin="1"/>
    <cellStyle name="Linked Cell" xfId="21" builtinId="24" customBuiltin="1"/>
    <cellStyle name="MQ Heading 1" xfId="51" xr:uid="{00000000-0005-0000-0000-000027000000}"/>
    <cellStyle name="Neutral" xfId="18" builtinId="28" customBuiltin="1"/>
    <cellStyle name="Normal" xfId="0" builtinId="0"/>
    <cellStyle name="Normal 2" xfId="6" xr:uid="{00000000-0005-0000-0000-00002A000000}"/>
    <cellStyle name="Normal 2 2" xfId="48" xr:uid="{00000000-0005-0000-0000-00002B000000}"/>
    <cellStyle name="Normal 4" xfId="50" xr:uid="{00000000-0005-0000-0000-00002C000000}"/>
    <cellStyle name="Note" xfId="24" builtinId="10" customBuiltin="1"/>
    <cellStyle name="Output" xfId="1" builtinId="21" customBuiltin="1"/>
    <cellStyle name="Percent" xfId="10" builtinId="5"/>
    <cellStyle name="Title" xfId="11" builtinId="15" customBuiltin="1"/>
    <cellStyle name="Title 2" xfId="49" xr:uid="{00000000-0005-0000-0000-000031000000}"/>
    <cellStyle name="Total" xfId="2" builtinId="25" customBuiltin="1"/>
    <cellStyle name="Warning Text" xfId="2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36095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5EACEB9-260D-4695-A56C-A729E5A70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1935" cy="1649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I6" sqref="I6:O6"/>
    </sheetView>
  </sheetViews>
  <sheetFormatPr defaultColWidth="9.85546875" defaultRowHeight="15"/>
  <cols>
    <col min="1" max="1" width="9.85546875" style="41"/>
    <col min="2" max="2" width="12" style="42" customWidth="1"/>
    <col min="3" max="3" width="15.85546875" style="42" customWidth="1"/>
    <col min="4" max="4" width="12.7109375" style="42" customWidth="1"/>
    <col min="5" max="6" width="9.85546875" style="42"/>
    <col min="7" max="7" width="11" style="42" customWidth="1"/>
    <col min="8" max="8" width="19.140625" style="42" customWidth="1"/>
    <col min="9" max="9" width="3.7109375" style="42" customWidth="1"/>
    <col min="10" max="10" width="3.85546875" style="42" customWidth="1"/>
    <col min="11" max="12" width="12.28515625" style="42" customWidth="1"/>
    <col min="13" max="13" width="47.42578125" style="42" customWidth="1"/>
    <col min="14" max="14" width="4.42578125" style="42" customWidth="1"/>
    <col min="15" max="15" width="4" style="42" customWidth="1"/>
    <col min="16" max="16" width="12.28515625" style="42" customWidth="1"/>
    <col min="17" max="16384" width="9.85546875" style="42"/>
  </cols>
  <sheetData>
    <row r="1" spans="1:16">
      <c r="H1" s="43"/>
    </row>
    <row r="2" spans="1:16" ht="34.5">
      <c r="H2" s="53" t="s">
        <v>26</v>
      </c>
      <c r="I2" s="54"/>
      <c r="J2" s="54"/>
      <c r="K2" s="54"/>
      <c r="L2" s="54"/>
      <c r="M2" s="54"/>
      <c r="N2" s="54"/>
      <c r="O2" s="54"/>
      <c r="P2" s="54"/>
    </row>
    <row r="3" spans="1:16">
      <c r="H3" s="43"/>
    </row>
    <row r="4" spans="1:16" ht="30">
      <c r="H4" s="55" t="s">
        <v>27</v>
      </c>
      <c r="I4" s="56"/>
      <c r="J4" s="56"/>
      <c r="K4" s="56"/>
      <c r="L4" s="56"/>
      <c r="M4" s="56"/>
      <c r="N4" s="56"/>
      <c r="O4" s="56"/>
      <c r="P4" s="56"/>
    </row>
    <row r="5" spans="1:16" ht="15.75" thickBot="1">
      <c r="H5" s="43"/>
    </row>
    <row r="6" spans="1:16" ht="32.25" thickBot="1">
      <c r="H6" s="43"/>
      <c r="I6" s="57" t="s">
        <v>30</v>
      </c>
      <c r="J6" s="58"/>
      <c r="K6" s="58"/>
      <c r="L6" s="58"/>
      <c r="M6" s="58"/>
      <c r="N6" s="58"/>
      <c r="O6" s="59"/>
      <c r="P6" s="44"/>
    </row>
    <row r="7" spans="1:16" s="46" customFormat="1">
      <c r="A7" s="45"/>
    </row>
    <row r="8" spans="1:16" s="46" customFormat="1">
      <c r="A8" s="45"/>
    </row>
    <row r="9" spans="1:16" s="46" customFormat="1">
      <c r="A9" s="45"/>
    </row>
    <row r="10" spans="1:16" ht="18.75" thickBot="1">
      <c r="A10" s="47" t="s">
        <v>28</v>
      </c>
      <c r="B10" s="48"/>
      <c r="C10" s="48"/>
      <c r="D10" s="48"/>
      <c r="E10" s="48"/>
      <c r="F10" s="48"/>
      <c r="G10" s="48"/>
      <c r="H10" s="44"/>
      <c r="I10" s="46"/>
      <c r="J10" s="46"/>
      <c r="K10" s="46"/>
      <c r="L10" s="46"/>
      <c r="M10" s="46"/>
      <c r="N10" s="46"/>
      <c r="O10" s="46"/>
      <c r="P10" s="46"/>
    </row>
    <row r="11" spans="1:16" ht="18.75" thickTop="1">
      <c r="A11" s="49"/>
      <c r="B11" s="50"/>
      <c r="C11" s="50"/>
      <c r="D11" s="50"/>
      <c r="E11" s="50"/>
      <c r="F11" s="50"/>
      <c r="G11" s="50"/>
      <c r="H11" s="50"/>
      <c r="I11" s="46"/>
      <c r="J11" s="46"/>
      <c r="K11" s="46"/>
      <c r="L11" s="46"/>
      <c r="M11" s="46"/>
      <c r="N11" s="46"/>
      <c r="O11" s="46"/>
      <c r="P11" s="46"/>
    </row>
    <row r="12" spans="1:16" ht="89.45" customHeight="1">
      <c r="B12" s="60" t="s">
        <v>29</v>
      </c>
      <c r="C12" s="60"/>
      <c r="D12" s="60"/>
      <c r="E12" s="60"/>
      <c r="F12" s="60"/>
      <c r="G12" s="60"/>
      <c r="H12" s="60"/>
      <c r="I12" s="51"/>
      <c r="J12" s="51"/>
      <c r="K12" s="51"/>
      <c r="L12" s="51"/>
      <c r="M12" s="51"/>
      <c r="N12" s="51"/>
      <c r="O12" s="51"/>
    </row>
    <row r="13" spans="1:16" s="46" customFormat="1" ht="9" customHeight="1">
      <c r="A13" s="45"/>
    </row>
    <row r="14" spans="1:16" s="46" customFormat="1" ht="5.45" customHeight="1">
      <c r="A14" s="45"/>
    </row>
    <row r="15" spans="1:16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1:1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</row>
    <row r="17" spans="1:13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</row>
    <row r="18" spans="1:13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</row>
    <row r="19" spans="1:13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</row>
    <row r="20" spans="1:13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</row>
    <row r="21" spans="1:13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</row>
    <row r="22" spans="1:13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</row>
    <row r="23" spans="1:1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spans="1:13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</row>
    <row r="25" spans="1:13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</row>
    <row r="26" spans="1:13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</row>
    <row r="27" spans="1:13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</row>
    <row r="28" spans="1:13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</row>
    <row r="29" spans="1:13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</row>
    <row r="30" spans="1:13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</row>
  </sheetData>
  <mergeCells count="4">
    <mergeCell ref="H2:P2"/>
    <mergeCell ref="H4:P4"/>
    <mergeCell ref="I6:O6"/>
    <mergeCell ref="B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E2E1-29CC-4F89-BF1D-C86A50C16B19}">
  <sheetPr>
    <outlinePr summaryBelow="0"/>
  </sheetPr>
  <dimension ref="B1:F11"/>
  <sheetViews>
    <sheetView showGridLines="0" tabSelected="1" workbookViewId="0"/>
  </sheetViews>
  <sheetFormatPr defaultRowHeight="15" outlineLevelRow="1" outlineLevelCol="1"/>
  <cols>
    <col min="3" max="3" width="6.140625" bestFit="1" customWidth="1"/>
    <col min="4" max="6" width="13.140625" bestFit="1" customWidth="1" outlineLevel="1"/>
  </cols>
  <sheetData>
    <row r="1" spans="2:6" ht="15.75" thickBot="1"/>
    <row r="2" spans="2:6" ht="15.75">
      <c r="B2" s="66" t="s">
        <v>37</v>
      </c>
      <c r="C2" s="66"/>
      <c r="D2" s="71"/>
      <c r="E2" s="71"/>
      <c r="F2" s="71"/>
    </row>
    <row r="3" spans="2:6" ht="15.75" collapsed="1">
      <c r="B3" s="65"/>
      <c r="C3" s="65"/>
      <c r="D3" s="72" t="s">
        <v>39</v>
      </c>
      <c r="E3" s="72" t="s">
        <v>34</v>
      </c>
      <c r="F3" s="72" t="s">
        <v>36</v>
      </c>
    </row>
    <row r="4" spans="2:6" ht="33.75" hidden="1" outlineLevel="1">
      <c r="B4" s="68"/>
      <c r="C4" s="68"/>
      <c r="D4" s="62"/>
      <c r="E4" s="74" t="s">
        <v>35</v>
      </c>
      <c r="F4" s="74" t="s">
        <v>35</v>
      </c>
    </row>
    <row r="5" spans="2:6">
      <c r="B5" s="69" t="s">
        <v>38</v>
      </c>
      <c r="C5" s="69"/>
      <c r="D5" s="67"/>
      <c r="E5" s="67"/>
      <c r="F5" s="67"/>
    </row>
    <row r="6" spans="2:6" outlineLevel="1">
      <c r="B6" s="68"/>
      <c r="C6" s="68" t="s">
        <v>33</v>
      </c>
      <c r="D6" s="63">
        <v>1</v>
      </c>
      <c r="E6" s="73">
        <v>3</v>
      </c>
      <c r="F6" s="73">
        <v>4</v>
      </c>
    </row>
    <row r="7" spans="2:6">
      <c r="B7" s="69" t="s">
        <v>40</v>
      </c>
      <c r="C7" s="69"/>
      <c r="D7" s="67"/>
      <c r="E7" s="67"/>
      <c r="F7" s="67"/>
    </row>
    <row r="8" spans="2:6" ht="15.75" outlineLevel="1" thickBot="1">
      <c r="B8" s="70"/>
      <c r="C8" s="70" t="s">
        <v>16</v>
      </c>
      <c r="D8" s="64">
        <v>82000</v>
      </c>
      <c r="E8" s="64">
        <v>306000</v>
      </c>
      <c r="F8" s="64">
        <v>328000</v>
      </c>
    </row>
    <row r="9" spans="2:6">
      <c r="B9" t="s">
        <v>41</v>
      </c>
    </row>
    <row r="10" spans="2:6">
      <c r="B10" t="s">
        <v>42</v>
      </c>
    </row>
    <row r="11" spans="2:6">
      <c r="B1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showGridLines="0" topLeftCell="A16" zoomScaleNormal="100" workbookViewId="0">
      <selection activeCell="B41" sqref="B41"/>
    </sheetView>
  </sheetViews>
  <sheetFormatPr defaultColWidth="8.85546875" defaultRowHeight="15"/>
  <cols>
    <col min="1" max="1" width="22.42578125" style="4" customWidth="1"/>
    <col min="2" max="3" width="18.42578125" style="4" customWidth="1"/>
    <col min="4" max="4" width="19.7109375" style="4" customWidth="1"/>
    <col min="5" max="5" width="18.42578125" style="4" customWidth="1"/>
    <col min="6" max="6" width="17.28515625" style="4" customWidth="1"/>
    <col min="7" max="7" width="20.85546875" style="4" bestFit="1" customWidth="1"/>
    <col min="8" max="8" width="3.7109375" style="4" customWidth="1"/>
    <col min="9" max="9" width="8.85546875" style="4"/>
    <col min="10" max="10" width="10.5703125" style="4" customWidth="1"/>
    <col min="11" max="11" width="11.140625" style="4" bestFit="1" customWidth="1"/>
    <col min="12" max="16384" width="8.85546875" style="4"/>
  </cols>
  <sheetData>
    <row r="1" spans="1:7" ht="40.9" customHeight="1">
      <c r="A1" s="1" t="s">
        <v>9</v>
      </c>
      <c r="B1" s="2"/>
      <c r="C1" s="2"/>
      <c r="D1" s="2"/>
      <c r="E1" s="3"/>
      <c r="F1" s="3"/>
      <c r="G1" s="3"/>
    </row>
    <row r="2" spans="1:7" ht="4.1500000000000004" customHeight="1">
      <c r="A2" s="5"/>
      <c r="B2" s="6"/>
      <c r="C2" s="6"/>
      <c r="D2" s="6"/>
      <c r="E2" s="7"/>
      <c r="F2" s="7"/>
      <c r="G2" s="7"/>
    </row>
    <row r="3" spans="1:7" ht="15.75" thickBot="1"/>
    <row r="4" spans="1:7" ht="15.75" thickBot="1">
      <c r="A4" s="8" t="s">
        <v>3</v>
      </c>
      <c r="B4" s="9">
        <v>0.01</v>
      </c>
      <c r="C4" s="9">
        <v>0.04</v>
      </c>
      <c r="D4" s="9">
        <v>0.1</v>
      </c>
      <c r="E4" s="9">
        <v>0.25</v>
      </c>
      <c r="F4" s="9">
        <f>1-SUM(B4:E4)</f>
        <v>0.6</v>
      </c>
      <c r="G4" s="10"/>
    </row>
    <row r="5" spans="1:7">
      <c r="A5" s="11" t="s">
        <v>1</v>
      </c>
      <c r="B5" s="12" t="s">
        <v>8</v>
      </c>
      <c r="C5" s="12" t="s">
        <v>7</v>
      </c>
      <c r="D5" s="12" t="s">
        <v>6</v>
      </c>
      <c r="E5" s="12" t="s">
        <v>5</v>
      </c>
      <c r="F5" s="12" t="s">
        <v>4</v>
      </c>
      <c r="G5" s="12" t="s">
        <v>22</v>
      </c>
    </row>
    <row r="6" spans="1:7">
      <c r="A6" s="4" t="s">
        <v>10</v>
      </c>
      <c r="B6" s="13">
        <f>2*F6</f>
        <v>40</v>
      </c>
      <c r="C6" s="13">
        <f>1.5*F6</f>
        <v>30</v>
      </c>
      <c r="D6" s="13">
        <f>1.25*F6</f>
        <v>25</v>
      </c>
      <c r="E6" s="13">
        <f>1.1*F6</f>
        <v>22</v>
      </c>
      <c r="F6" s="13">
        <v>20</v>
      </c>
      <c r="G6" s="13">
        <f>SUMPRODUCT(B6:F6,$B$4:$F$4)</f>
        <v>21.6</v>
      </c>
    </row>
    <row r="7" spans="1:7">
      <c r="A7" s="4" t="s">
        <v>11</v>
      </c>
      <c r="B7" s="13">
        <f t="shared" ref="B7:B10" si="0">2*F7</f>
        <v>60</v>
      </c>
      <c r="C7" s="13">
        <f t="shared" ref="C7:C10" si="1">1.5*F7</f>
        <v>45</v>
      </c>
      <c r="D7" s="13">
        <f t="shared" ref="D7:D10" si="2">1.25*F7</f>
        <v>37.5</v>
      </c>
      <c r="E7" s="13">
        <f t="shared" ref="E7:E10" si="3">1.1*F7</f>
        <v>33</v>
      </c>
      <c r="F7" s="13">
        <v>30</v>
      </c>
      <c r="G7" s="13">
        <f t="shared" ref="G7:G10" si="4">SUMPRODUCT(B7:F7,$B$4:$F$4)</f>
        <v>32.4</v>
      </c>
    </row>
    <row r="8" spans="1:7">
      <c r="A8" s="4" t="s">
        <v>23</v>
      </c>
      <c r="B8" s="13">
        <f t="shared" si="0"/>
        <v>50</v>
      </c>
      <c r="C8" s="13">
        <f t="shared" si="1"/>
        <v>37.5</v>
      </c>
      <c r="D8" s="13">
        <f t="shared" si="2"/>
        <v>31.25</v>
      </c>
      <c r="E8" s="13">
        <f t="shared" si="3"/>
        <v>27.500000000000004</v>
      </c>
      <c r="F8" s="13">
        <v>25</v>
      </c>
      <c r="G8" s="13">
        <f t="shared" si="4"/>
        <v>27</v>
      </c>
    </row>
    <row r="9" spans="1:7">
      <c r="A9" s="4" t="s">
        <v>24</v>
      </c>
      <c r="B9" s="13">
        <f t="shared" si="0"/>
        <v>50</v>
      </c>
      <c r="C9" s="13">
        <f t="shared" si="1"/>
        <v>37.5</v>
      </c>
      <c r="D9" s="13">
        <f t="shared" si="2"/>
        <v>31.25</v>
      </c>
      <c r="E9" s="13">
        <f t="shared" si="3"/>
        <v>27.500000000000004</v>
      </c>
      <c r="F9" s="13">
        <v>25</v>
      </c>
      <c r="G9" s="13">
        <f t="shared" si="4"/>
        <v>27</v>
      </c>
    </row>
    <row r="10" spans="1:7">
      <c r="A10" s="4" t="s">
        <v>25</v>
      </c>
      <c r="B10" s="13">
        <f t="shared" si="0"/>
        <v>40</v>
      </c>
      <c r="C10" s="13">
        <f t="shared" si="1"/>
        <v>30</v>
      </c>
      <c r="D10" s="13">
        <f t="shared" si="2"/>
        <v>25</v>
      </c>
      <c r="E10" s="13">
        <f t="shared" si="3"/>
        <v>22</v>
      </c>
      <c r="F10" s="13">
        <v>20</v>
      </c>
      <c r="G10" s="13">
        <f t="shared" si="4"/>
        <v>21.6</v>
      </c>
    </row>
    <row r="11" spans="1:7">
      <c r="B11" s="13"/>
      <c r="C11" s="13"/>
      <c r="D11" s="13"/>
      <c r="E11" s="13"/>
      <c r="F11" s="13"/>
      <c r="G11" s="13"/>
    </row>
    <row r="12" spans="1:7" ht="15.75" thickBot="1">
      <c r="A12" s="15" t="s">
        <v>0</v>
      </c>
      <c r="B12" s="16"/>
      <c r="C12" s="16"/>
      <c r="D12" s="16"/>
      <c r="E12" s="16"/>
      <c r="F12" s="16"/>
      <c r="G12" s="17">
        <f>SUM(G6:G10)</f>
        <v>129.6</v>
      </c>
    </row>
    <row r="13" spans="1:7" ht="15.75" thickTop="1">
      <c r="B13" s="13"/>
      <c r="C13" s="13"/>
      <c r="D13" s="13"/>
      <c r="F13" s="18"/>
      <c r="G13" s="13"/>
    </row>
    <row r="14" spans="1:7">
      <c r="A14" s="39" t="s">
        <v>21</v>
      </c>
      <c r="C14" s="18"/>
      <c r="D14" s="18"/>
      <c r="E14" s="18"/>
      <c r="F14" s="18"/>
    </row>
    <row r="15" spans="1:7">
      <c r="A15" s="19" t="s">
        <v>13</v>
      </c>
      <c r="B15" s="20">
        <f>G12*E16</f>
        <v>3888</v>
      </c>
      <c r="C15" s="18"/>
      <c r="D15" s="21" t="s">
        <v>2</v>
      </c>
      <c r="E15" s="22"/>
      <c r="F15" s="18"/>
      <c r="G15" s="23"/>
    </row>
    <row r="16" spans="1:7">
      <c r="A16" s="24">
        <v>24</v>
      </c>
      <c r="B16" s="18">
        <f t="dataTable" ref="B16:B22" dt2D="0" dtr="0" r1="E16"/>
        <v>3110.3999999999996</v>
      </c>
      <c r="C16" s="18"/>
      <c r="D16" s="25" t="s">
        <v>12</v>
      </c>
      <c r="E16" s="26">
        <v>30</v>
      </c>
      <c r="F16" s="18"/>
      <c r="G16" s="27"/>
    </row>
    <row r="17" spans="1:7">
      <c r="A17" s="24">
        <v>26</v>
      </c>
      <c r="B17" s="18">
        <v>3369.6</v>
      </c>
      <c r="C17" s="18"/>
      <c r="D17" s="25" t="s">
        <v>14</v>
      </c>
      <c r="E17" s="29">
        <v>0.1</v>
      </c>
      <c r="F17" s="18"/>
      <c r="G17" s="28"/>
    </row>
    <row r="18" spans="1:7">
      <c r="A18" s="24">
        <v>28</v>
      </c>
      <c r="B18" s="18">
        <v>3628.7999999999997</v>
      </c>
      <c r="C18" s="18"/>
      <c r="F18" s="18"/>
    </row>
    <row r="19" spans="1:7">
      <c r="A19" s="24">
        <v>30</v>
      </c>
      <c r="B19" s="18">
        <v>3888</v>
      </c>
      <c r="C19" s="18"/>
      <c r="F19" s="18"/>
    </row>
    <row r="20" spans="1:7">
      <c r="A20" s="24">
        <v>32</v>
      </c>
      <c r="B20" s="18">
        <v>4147.2</v>
      </c>
      <c r="C20" s="18"/>
      <c r="D20" s="30"/>
      <c r="E20" s="30"/>
      <c r="F20" s="18"/>
    </row>
    <row r="21" spans="1:7">
      <c r="A21" s="24">
        <v>34</v>
      </c>
      <c r="B21" s="18">
        <v>4406.3999999999996</v>
      </c>
      <c r="C21" s="18"/>
      <c r="D21" s="31"/>
      <c r="E21" s="32"/>
      <c r="F21" s="18"/>
    </row>
    <row r="22" spans="1:7">
      <c r="A22" s="24">
        <v>36</v>
      </c>
      <c r="B22" s="18">
        <v>4665.5999999999995</v>
      </c>
      <c r="C22" s="18"/>
      <c r="D22" s="31"/>
      <c r="E22" s="33"/>
      <c r="F22" s="18"/>
    </row>
    <row r="23" spans="1:7">
      <c r="B23" s="18">
        <f>SUM(B16:B22)</f>
        <v>27216</v>
      </c>
      <c r="D23" s="31"/>
      <c r="E23" s="34"/>
    </row>
    <row r="24" spans="1:7">
      <c r="A24" s="39" t="s">
        <v>31</v>
      </c>
    </row>
    <row r="25" spans="1:7">
      <c r="A25" s="19" t="s">
        <v>15</v>
      </c>
      <c r="B25" s="22"/>
      <c r="C25" s="22"/>
      <c r="D25" s="22"/>
      <c r="E25" s="22"/>
      <c r="F25" s="22"/>
      <c r="G25" s="22"/>
    </row>
    <row r="26" spans="1:7">
      <c r="A26" s="35">
        <f>G12*E16*(1+E17)</f>
        <v>4276.8</v>
      </c>
      <c r="B26" s="36">
        <v>0.05</v>
      </c>
      <c r="C26" s="36">
        <v>0.06</v>
      </c>
      <c r="D26" s="36">
        <v>7.0000000000000007E-2</v>
      </c>
      <c r="E26" s="36">
        <v>0.08</v>
      </c>
      <c r="F26" s="36">
        <v>0.09</v>
      </c>
      <c r="G26" s="36">
        <v>0.1</v>
      </c>
    </row>
    <row r="27" spans="1:7">
      <c r="A27" s="24">
        <v>24</v>
      </c>
      <c r="B27" s="18">
        <f t="dataTable" ref="B27:G34" dt2D="1" dtr="1" r1="E17" r2="E16" ca="1"/>
        <v>3265.9199999999996</v>
      </c>
      <c r="C27" s="18">
        <v>3297.0239999999999</v>
      </c>
      <c r="D27" s="18">
        <v>3328.1279999999997</v>
      </c>
      <c r="E27" s="18">
        <v>3359.232</v>
      </c>
      <c r="F27" s="18">
        <v>3390.3359999999998</v>
      </c>
      <c r="G27" s="18">
        <v>3421.44</v>
      </c>
    </row>
    <row r="28" spans="1:7">
      <c r="A28" s="24">
        <v>26</v>
      </c>
      <c r="B28" s="18">
        <v>3538.08</v>
      </c>
      <c r="C28" s="18">
        <v>3571.7760000000003</v>
      </c>
      <c r="D28" s="18">
        <v>3605.4720000000002</v>
      </c>
      <c r="E28" s="18">
        <v>3639.1680000000001</v>
      </c>
      <c r="F28" s="18">
        <v>3672.864</v>
      </c>
      <c r="G28" s="18">
        <v>3706.5600000000004</v>
      </c>
    </row>
    <row r="29" spans="1:7">
      <c r="A29" s="24">
        <v>28</v>
      </c>
      <c r="B29" s="18">
        <v>3810.24</v>
      </c>
      <c r="C29" s="18">
        <v>3846.5279999999998</v>
      </c>
      <c r="D29" s="18">
        <v>3882.8159999999998</v>
      </c>
      <c r="E29" s="18">
        <v>3919.1039999999998</v>
      </c>
      <c r="F29" s="18">
        <v>3955.3919999999998</v>
      </c>
      <c r="G29" s="18">
        <v>3991.68</v>
      </c>
    </row>
    <row r="30" spans="1:7">
      <c r="A30" s="24">
        <v>30</v>
      </c>
      <c r="B30" s="18">
        <v>4082.4</v>
      </c>
      <c r="C30" s="18">
        <v>4121.2800000000007</v>
      </c>
      <c r="D30" s="18">
        <v>4160.16</v>
      </c>
      <c r="E30" s="18">
        <v>4199.04</v>
      </c>
      <c r="F30" s="18">
        <v>4237.92</v>
      </c>
      <c r="G30" s="18">
        <v>4276.8</v>
      </c>
    </row>
    <row r="31" spans="1:7">
      <c r="A31" s="24">
        <v>32</v>
      </c>
      <c r="B31" s="18">
        <v>4354.5600000000004</v>
      </c>
      <c r="C31" s="18">
        <v>4396.0320000000002</v>
      </c>
      <c r="D31" s="18">
        <v>4437.5039999999999</v>
      </c>
      <c r="E31" s="18">
        <v>4478.9759999999997</v>
      </c>
      <c r="F31" s="18">
        <v>4520.4480000000003</v>
      </c>
      <c r="G31" s="18">
        <v>4561.92</v>
      </c>
    </row>
    <row r="32" spans="1:7">
      <c r="A32" s="24">
        <v>34</v>
      </c>
      <c r="B32" s="18">
        <v>4626.72</v>
      </c>
      <c r="C32" s="18">
        <v>4670.7839999999997</v>
      </c>
      <c r="D32" s="18">
        <v>4714.848</v>
      </c>
      <c r="E32" s="18">
        <v>4758.9120000000003</v>
      </c>
      <c r="F32" s="18">
        <v>4802.9759999999997</v>
      </c>
      <c r="G32" s="18">
        <v>4847.04</v>
      </c>
    </row>
    <row r="33" spans="1:11">
      <c r="A33" s="24">
        <v>36</v>
      </c>
      <c r="B33" s="18">
        <v>4898.8799999999992</v>
      </c>
      <c r="C33" s="18">
        <v>4945.5360000000001</v>
      </c>
      <c r="D33" s="18">
        <v>4992.192</v>
      </c>
      <c r="E33" s="18">
        <v>5038.848</v>
      </c>
      <c r="F33" s="18">
        <v>5085.5039999999999</v>
      </c>
      <c r="G33" s="18">
        <v>5132.16</v>
      </c>
    </row>
    <row r="34" spans="1:11">
      <c r="A34" s="24">
        <v>38</v>
      </c>
      <c r="B34" s="18">
        <v>5171.04</v>
      </c>
      <c r="C34" s="18">
        <v>5220.2880000000005</v>
      </c>
      <c r="D34" s="18">
        <v>5269.5360000000001</v>
      </c>
      <c r="E34" s="18">
        <v>5318.7840000000006</v>
      </c>
      <c r="F34" s="18">
        <v>5368.0320000000002</v>
      </c>
      <c r="G34" s="18">
        <v>5417.2800000000007</v>
      </c>
      <c r="J34" s="39" t="s">
        <v>32</v>
      </c>
      <c r="K34" s="18">
        <f>SUM(B27:G34)</f>
        <v>207308.16</v>
      </c>
    </row>
    <row r="35" spans="1:11">
      <c r="A35" s="37"/>
    </row>
    <row r="37" spans="1:11">
      <c r="A37" s="21" t="s">
        <v>20</v>
      </c>
      <c r="B37" s="22"/>
      <c r="C37" s="22"/>
      <c r="D37" s="22"/>
      <c r="E37" s="22"/>
      <c r="F37" s="22"/>
      <c r="G37" s="22"/>
    </row>
    <row r="38" spans="1:11">
      <c r="A38" s="14" t="s">
        <v>19</v>
      </c>
      <c r="B38" s="38">
        <v>1</v>
      </c>
    </row>
    <row r="39" spans="1:11">
      <c r="A39" s="14" t="s">
        <v>18</v>
      </c>
      <c r="B39" s="61">
        <f>(240 - 30*B38)*1000*B38</f>
        <v>210000</v>
      </c>
    </row>
    <row r="40" spans="1:11">
      <c r="A40" s="14" t="s">
        <v>17</v>
      </c>
      <c r="B40" s="18">
        <f>(120 + 8*B38)*1000</f>
        <v>128000</v>
      </c>
    </row>
    <row r="41" spans="1:11">
      <c r="A41" s="14" t="s">
        <v>16</v>
      </c>
      <c r="B41" s="40">
        <f>B39-B40</f>
        <v>82000</v>
      </c>
    </row>
  </sheetData>
  <scenarios current="1" show="1" sqref="B41">
    <scenario name="Less Gardens" locked="1" count="1" user="Russell Tito" comment="Created by Russell Tito on 30/10/2026">
      <inputCells r="B38" val="3" numFmtId="4"/>
    </scenario>
    <scenario name="More Gardens" locked="1" count="1" user="Russell Tito" comment="Created by Russell Tito on 30/10/2026">
      <inputCells r="B38" val="4" numFmtId="4"/>
    </scenario>
  </scenario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Introduction</vt:lpstr>
      <vt:lpstr>Scenario Summary</vt:lpstr>
      <vt:lpstr>Landscaping Data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Prashan Karunaratne</dc:creator>
  <cp:lastModifiedBy>Russell Tito</cp:lastModifiedBy>
  <dcterms:created xsi:type="dcterms:W3CDTF">2017-08-25T02:34:34Z</dcterms:created>
  <dcterms:modified xsi:type="dcterms:W3CDTF">2026-10-30T22:42:07Z</dcterms:modified>
</cp:coreProperties>
</file>